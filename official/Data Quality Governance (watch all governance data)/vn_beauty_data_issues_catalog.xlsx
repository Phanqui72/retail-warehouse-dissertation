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Ma trận lỗi" sheetId="3" state="visible" r:id="rId5"/>
    <sheet name="Issue catalog" sheetId="4" state="visible" r:id="rId6"/>
    <sheet name="Log examples" sheetId="5" state="visible" r:id="rId7"/>
  </sheets>
  <definedNames>
    <definedName function="false" hidden="true" localSheetId="3" name="_xlnm._FilterDatabase" vbProcedure="false">'Issue catalog'!$A$1:$L$65</definedName>
    <definedName function="false" hidden="true" localSheetId="4" name="_xlnm._FilterDatabase" vbProcedure="false">'Log examples'!$A$1:$F$180</definedName>
    <definedName function="false" hidden="true" localSheetId="0" name="_xlnm._FilterDatabase" vbProcedure="false">README!$A$8:$G$25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ORD-01</t>
        </r>
      </text>
    </comment>
    <comment ref="B17" authorId="0">
      <text>
        <r>
          <rPr>
            <sz val="10"/>
            <rFont val="Arial"/>
            <family val="2"/>
          </rPr>
          <t xml:space="preserve">HIS-01</t>
        </r>
      </text>
    </comment>
    <comment ref="B31" authorId="0">
      <text>
        <r>
          <rPr>
            <sz val="10"/>
            <rFont val="Arial"/>
            <family val="2"/>
          </rPr>
          <t xml:space="preserve">CUS-03</t>
        </r>
      </text>
    </comment>
    <comment ref="B35" authorId="0">
      <text>
        <r>
          <rPr>
            <sz val="10"/>
            <rFont val="Arial"/>
            <family val="2"/>
          </rPr>
          <t xml:space="preserve">REV-04</t>
        </r>
      </text>
    </comment>
    <comment ref="B44" authorId="0">
      <text>
        <r>
          <rPr>
            <sz val="10"/>
            <rFont val="Arial"/>
            <family val="2"/>
          </rPr>
          <t xml:space="preserve">INV-01</t>
        </r>
      </text>
    </comment>
    <comment ref="B50" authorId="0">
      <text>
        <r>
          <rPr>
            <sz val="10"/>
            <rFont val="Arial"/>
            <family val="2"/>
          </rPr>
          <t xml:space="preserve">TRF-03</t>
        </r>
      </text>
    </comment>
    <comment ref="B53" authorId="0">
      <text>
        <r>
          <rPr>
            <sz val="10"/>
            <rFont val="Arial"/>
            <family val="2"/>
          </rPr>
          <t xml:space="preserve">SNP-04</t>
        </r>
      </text>
    </comment>
    <comment ref="B60" authorId="0">
      <text>
        <r>
          <rPr>
            <sz val="10"/>
            <rFont val="Arial"/>
            <family val="2"/>
          </rPr>
          <t xml:space="preserve">MKT-03</t>
        </r>
      </text>
    </comment>
    <comment ref="B74" authorId="0">
      <text>
        <r>
          <rPr>
            <sz val="10"/>
            <rFont val="Arial"/>
            <family val="2"/>
          </rPr>
          <t xml:space="preserve">PRD-01</t>
        </r>
      </text>
    </comment>
    <comment ref="C7" authorId="0">
      <text>
        <r>
          <rPr>
            <sz val="10"/>
            <rFont val="Arial"/>
            <family val="2"/>
          </rPr>
          <t xml:space="preserve">ORD-10</t>
        </r>
      </text>
    </comment>
    <comment ref="C13" authorId="0">
      <text>
        <r>
          <rPr>
            <sz val="10"/>
            <rFont val="Arial"/>
            <family val="2"/>
          </rPr>
          <t xml:space="preserve">ORD-02</t>
        </r>
      </text>
    </comment>
    <comment ref="C14" authorId="0">
      <text>
        <r>
          <rPr>
            <sz val="10"/>
            <rFont val="Arial"/>
            <family val="2"/>
          </rPr>
          <t xml:space="preserve">ORD-07</t>
        </r>
      </text>
    </comment>
    <comment ref="C27" authorId="0">
      <text>
        <r>
          <rPr>
            <sz val="10"/>
            <rFont val="Arial"/>
            <family val="2"/>
          </rPr>
          <t xml:space="preserve">ITM-03</t>
        </r>
      </text>
    </comment>
    <comment ref="C37" authorId="0">
      <text>
        <r>
          <rPr>
            <sz val="10"/>
            <rFont val="Arial"/>
            <family val="2"/>
          </rPr>
          <t xml:space="preserve">REV-01</t>
        </r>
      </text>
    </comment>
    <comment ref="C39" authorId="0">
      <text>
        <r>
          <rPr>
            <sz val="10"/>
            <rFont val="Arial"/>
            <family val="2"/>
          </rPr>
          <t xml:space="preserve">PAY-03</t>
        </r>
      </text>
    </comment>
    <comment ref="C40" authorId="0">
      <text>
        <r>
          <rPr>
            <sz val="10"/>
            <rFont val="Arial"/>
            <family val="2"/>
          </rPr>
          <t xml:space="preserve">PAY-01</t>
        </r>
      </text>
    </comment>
    <comment ref="C43" authorId="0">
      <text>
        <r>
          <rPr>
            <sz val="10"/>
            <rFont val="Arial"/>
            <family val="2"/>
          </rPr>
          <t xml:space="preserve">INV-02</t>
        </r>
      </text>
    </comment>
    <comment ref="C54" authorId="0">
      <text>
        <r>
          <rPr>
            <sz val="10"/>
            <rFont val="Arial"/>
            <family val="2"/>
          </rPr>
          <t xml:space="preserve">SNP-02</t>
        </r>
      </text>
    </comment>
    <comment ref="C59" authorId="0">
      <text>
        <r>
          <rPr>
            <sz val="10"/>
            <rFont val="Arial"/>
            <family val="2"/>
          </rPr>
          <t xml:space="preserve">MKT-01</t>
        </r>
      </text>
    </comment>
    <comment ref="C61" authorId="0">
      <text>
        <r>
          <rPr>
            <sz val="10"/>
            <rFont val="Arial"/>
            <family val="2"/>
          </rPr>
          <t xml:space="preserve">MKT-05</t>
        </r>
      </text>
    </comment>
    <comment ref="C64" authorId="0">
      <text>
        <r>
          <rPr>
            <sz val="10"/>
            <rFont val="Arial"/>
            <family val="2"/>
          </rPr>
          <t xml:space="preserve">PO-01</t>
        </r>
      </text>
    </comment>
    <comment ref="C67" authorId="0">
      <text>
        <r>
          <rPr>
            <sz val="10"/>
            <rFont val="Arial"/>
            <family val="2"/>
          </rPr>
          <t xml:space="preserve">ADS-01</t>
        </r>
      </text>
    </comment>
    <comment ref="C75" authorId="0">
      <text>
        <r>
          <rPr>
            <sz val="10"/>
            <rFont val="Arial"/>
            <family val="2"/>
          </rPr>
          <t xml:space="preserve">PRD-05</t>
        </r>
      </text>
    </comment>
    <comment ref="C79" authorId="0">
      <text>
        <r>
          <rPr>
            <sz val="10"/>
            <rFont val="Arial"/>
            <family val="2"/>
          </rPr>
          <t xml:space="preserve">BUN-02</t>
        </r>
      </text>
    </comment>
    <comment ref="D25" authorId="0">
      <text>
        <r>
          <rPr>
            <sz val="10"/>
            <rFont val="Arial"/>
            <family val="2"/>
          </rPr>
          <t xml:space="preserve">ITM-01</t>
        </r>
      </text>
    </comment>
    <comment ref="D26" authorId="0">
      <text>
        <r>
          <rPr>
            <sz val="10"/>
            <rFont val="Arial"/>
            <family val="2"/>
          </rPr>
          <t xml:space="preserve">ITM-02</t>
        </r>
      </text>
    </comment>
    <comment ref="D45" authorId="0">
      <text>
        <r>
          <rPr>
            <sz val="10"/>
            <rFont val="Arial"/>
            <family val="2"/>
          </rPr>
          <t xml:space="preserve">INV-05</t>
        </r>
      </text>
    </comment>
    <comment ref="D78" authorId="0">
      <text>
        <r>
          <rPr>
            <sz val="10"/>
            <rFont val="Arial"/>
            <family val="2"/>
          </rPr>
          <t xml:space="preserve">BUN-01</t>
        </r>
      </text>
    </comment>
    <comment ref="D81" authorId="0">
      <text>
        <r>
          <rPr>
            <sz val="10"/>
            <rFont val="Arial"/>
            <family val="2"/>
          </rPr>
          <t xml:space="preserve">LST-01</t>
        </r>
      </text>
    </comment>
    <comment ref="E8" authorId="0">
      <text>
        <r>
          <rPr>
            <sz val="10"/>
            <rFont val="Arial"/>
            <family val="2"/>
          </rPr>
          <t xml:space="preserve">ORD-04</t>
        </r>
      </text>
    </comment>
    <comment ref="E9" authorId="0">
      <text>
        <r>
          <rPr>
            <sz val="10"/>
            <rFont val="Arial"/>
            <family val="2"/>
          </rPr>
          <t xml:space="preserve">ORD-08</t>
        </r>
      </text>
    </comment>
    <comment ref="E19" authorId="0">
      <text>
        <r>
          <rPr>
            <sz val="10"/>
            <rFont val="Arial"/>
            <family val="2"/>
          </rPr>
          <t xml:space="preserve">HIS-03</t>
        </r>
      </text>
    </comment>
    <comment ref="E29" authorId="0">
      <text>
        <r>
          <rPr>
            <sz val="10"/>
            <rFont val="Arial"/>
            <family val="2"/>
          </rPr>
          <t xml:space="preserve">CUS-02</t>
        </r>
      </text>
    </comment>
    <comment ref="E33" authorId="0">
      <text>
        <r>
          <rPr>
            <sz val="10"/>
            <rFont val="Arial"/>
            <family val="2"/>
          </rPr>
          <t xml:space="preserve">REV-05</t>
        </r>
      </text>
    </comment>
    <comment ref="E46" authorId="0">
      <text>
        <r>
          <rPr>
            <sz val="10"/>
            <rFont val="Arial"/>
            <family val="2"/>
          </rPr>
          <t xml:space="preserve">INV-03</t>
        </r>
      </text>
    </comment>
    <comment ref="E48" authorId="0">
      <text>
        <r>
          <rPr>
            <sz val="10"/>
            <rFont val="Arial"/>
            <family val="2"/>
          </rPr>
          <t xml:space="preserve">TRF-02</t>
        </r>
      </text>
    </comment>
    <comment ref="E55" authorId="0">
      <text>
        <r>
          <rPr>
            <sz val="10"/>
            <rFont val="Arial"/>
            <family val="2"/>
          </rPr>
          <t xml:space="preserve">SNP-03</t>
        </r>
      </text>
    </comment>
    <comment ref="E58" authorId="0">
      <text>
        <r>
          <rPr>
            <sz val="10"/>
            <rFont val="Arial"/>
            <family val="2"/>
          </rPr>
          <t xml:space="preserve">MKT-04</t>
        </r>
      </text>
    </comment>
    <comment ref="E63" authorId="0">
      <text>
        <r>
          <rPr>
            <sz val="10"/>
            <rFont val="Arial"/>
            <family val="2"/>
          </rPr>
          <t xml:space="preserve">PO-03</t>
        </r>
      </text>
    </comment>
    <comment ref="E73" authorId="0">
      <text>
        <r>
          <rPr>
            <sz val="10"/>
            <rFont val="Arial"/>
            <family val="2"/>
          </rPr>
          <t xml:space="preserve">PRD-03</t>
        </r>
      </text>
    </comment>
    <comment ref="F7" authorId="0">
      <text>
        <r>
          <rPr>
            <sz val="10"/>
            <rFont val="Arial"/>
            <family val="2"/>
          </rPr>
          <t xml:space="preserve">ORD-05</t>
        </r>
      </text>
    </comment>
    <comment ref="F12" authorId="0">
      <text>
        <r>
          <rPr>
            <sz val="10"/>
            <rFont val="Arial"/>
            <family val="2"/>
          </rPr>
          <t xml:space="preserve">ORD-09</t>
        </r>
      </text>
    </comment>
    <comment ref="F15" authorId="0">
      <text>
        <r>
          <rPr>
            <sz val="10"/>
            <rFont val="Arial"/>
            <family val="2"/>
          </rPr>
          <t xml:space="preserve">ORD-03</t>
        </r>
      </text>
    </comment>
    <comment ref="F18" authorId="0">
      <text>
        <r>
          <rPr>
            <sz val="10"/>
            <rFont val="Arial"/>
            <family val="2"/>
          </rPr>
          <t xml:space="preserve">HIS-02</t>
        </r>
      </text>
    </comment>
    <comment ref="F22" authorId="0">
      <text>
        <r>
          <rPr>
            <sz val="10"/>
            <rFont val="Arial"/>
            <family val="2"/>
          </rPr>
          <t xml:space="preserve">ITM-05</t>
        </r>
      </text>
    </comment>
    <comment ref="F24" authorId="0">
      <text>
        <r>
          <rPr>
            <sz val="10"/>
            <rFont val="Arial"/>
            <family val="2"/>
          </rPr>
          <t xml:space="preserve">ITM-06</t>
        </r>
      </text>
    </comment>
    <comment ref="F30" authorId="0">
      <text>
        <r>
          <rPr>
            <sz val="10"/>
            <rFont val="Arial"/>
            <family val="2"/>
          </rPr>
          <t xml:space="preserve">CUS-01</t>
        </r>
      </text>
    </comment>
    <comment ref="F36" authorId="0">
      <text>
        <r>
          <rPr>
            <sz val="10"/>
            <rFont val="Arial"/>
            <family val="2"/>
          </rPr>
          <t xml:space="preserve">REV-03</t>
        </r>
      </text>
    </comment>
    <comment ref="F49" authorId="0">
      <text>
        <r>
          <rPr>
            <sz val="10"/>
            <rFont val="Arial"/>
            <family val="2"/>
          </rPr>
          <t xml:space="preserve">TRF-01</t>
        </r>
      </text>
    </comment>
    <comment ref="F52" authorId="0">
      <text>
        <r>
          <rPr>
            <sz val="10"/>
            <rFont val="Arial"/>
            <family val="2"/>
          </rPr>
          <t xml:space="preserve">SNP-01</t>
        </r>
      </text>
    </comment>
    <comment ref="F63" authorId="0">
      <text>
        <r>
          <rPr>
            <sz val="10"/>
            <rFont val="Arial"/>
            <family val="2"/>
          </rPr>
          <t xml:space="preserve">PO-02</t>
        </r>
      </text>
    </comment>
    <comment ref="F66" authorId="0">
      <text>
        <r>
          <rPr>
            <sz val="10"/>
            <rFont val="Arial"/>
            <family val="2"/>
          </rPr>
          <t xml:space="preserve">ADS-02</t>
        </r>
      </text>
    </comment>
    <comment ref="F71" authorId="0">
      <text>
        <r>
          <rPr>
            <sz val="10"/>
            <rFont val="Arial"/>
            <family val="2"/>
          </rPr>
          <t xml:space="preserve">PRD-02</t>
        </r>
      </text>
    </comment>
    <comment ref="F72" authorId="0">
      <text>
        <r>
          <rPr>
            <sz val="10"/>
            <rFont val="Arial"/>
            <family val="2"/>
          </rPr>
          <t xml:space="preserve">PRD-06</t>
        </r>
      </text>
    </comment>
    <comment ref="F83" authorId="0">
      <text>
        <r>
          <rPr>
            <sz val="10"/>
            <rFont val="Arial"/>
            <family val="2"/>
          </rPr>
          <t xml:space="preserve">ATT-01</t>
        </r>
      </text>
    </comment>
    <comment ref="G10" authorId="0">
      <text>
        <r>
          <rPr>
            <sz val="10"/>
            <rFont val="Arial"/>
            <family val="2"/>
          </rPr>
          <t xml:space="preserve">ORD-06</t>
        </r>
      </text>
    </comment>
    <comment ref="G21" authorId="0">
      <text>
        <r>
          <rPr>
            <sz val="10"/>
            <rFont val="Arial"/>
            <family val="2"/>
          </rPr>
          <t xml:space="preserve">ITM-04</t>
        </r>
      </text>
    </comment>
    <comment ref="G23" authorId="0">
      <text>
        <r>
          <rPr>
            <sz val="10"/>
            <rFont val="Arial"/>
            <family val="2"/>
          </rPr>
          <t xml:space="preserve">ITM-07</t>
        </r>
      </text>
    </comment>
    <comment ref="G39" authorId="0">
      <text>
        <r>
          <rPr>
            <sz val="10"/>
            <rFont val="Arial"/>
            <family val="2"/>
          </rPr>
          <t xml:space="preserve">PAY-02</t>
        </r>
      </text>
    </comment>
    <comment ref="G57" authorId="0">
      <text>
        <r>
          <rPr>
            <sz val="10"/>
            <rFont val="Arial"/>
            <family val="2"/>
          </rPr>
          <t xml:space="preserve">MKT-02</t>
        </r>
      </text>
    </comment>
    <comment ref="G69" authorId="0">
      <text>
        <r>
          <rPr>
            <sz val="10"/>
            <rFont val="Arial"/>
            <family val="2"/>
          </rPr>
          <t xml:space="preserve">CNT-01</t>
        </r>
      </text>
    </comment>
    <comment ref="G76" authorId="0">
      <text>
        <r>
          <rPr>
            <sz val="10"/>
            <rFont val="Arial"/>
            <family val="2"/>
          </rPr>
          <t xml:space="preserve">PRD-04</t>
        </r>
      </text>
    </comment>
    <comment ref="H42" authorId="0">
      <text>
        <r>
          <rPr>
            <sz val="10"/>
            <rFont val="Arial"/>
            <family val="2"/>
          </rPr>
          <t xml:space="preserve">INV-04</t>
        </r>
      </text>
    </comment>
    <comment ref="I34" authorId="0">
      <text>
        <r>
          <rPr>
            <sz val="10"/>
            <rFont val="Arial"/>
            <family val="2"/>
          </rPr>
          <t xml:space="preserve">REV-02</t>
        </r>
      </text>
    </comment>
  </commentList>
</comments>
</file>

<file path=xl/sharedStrings.xml><?xml version="1.0" encoding="utf-8"?>
<sst xmlns="http://schemas.openxmlformats.org/spreadsheetml/2006/main" count="2103" uniqueCount="938">
  <si>
    <t xml:space="preserve">Danh mục lỗi cố ý — VN Beauty Orders Dataset</t>
  </si>
  <si>
    <t xml:space="preserve">Mỗi lỗi có mã issue_id; log chi tiết từng bản ghi bị tiêm lỗi nằm ở vn_beauty_injected_issues_log.csv (issue_id, dataset, row_key, column, original_value, injected_value).</t>
  </si>
  <si>
    <t xml:space="preserve">rate = tỷ lệ bản ghi của bảng bị tiêm (hoặc số bản ghi cố định với bảng nhỏ). rows_affected_full = số bản ghi bị tác động trong bộ đầy đủ.</t>
  </si>
  <si>
    <t xml:space="preserve">Ngoài các lỗi tiêm, dữ liệu còn 'bẩn tự nhiên': province_name_raw nhiều cách viết (TP.HCM, Sài Gòn, Ha Noi…), đơn hủy do hết hàng (reason 11), hoàn hàng, đơn còn dở dang cuối kỳ.</t>
  </si>
  <si>
    <t xml:space="preserve">Bảng danh mục (geolocation, categories, brands, channels_shops, warehouses, carriers, suppliers, order_status, movement_types, order_reasons, events_calendar, inventory_policy) được giữ sạch để làm chuẩn đối chiếu.</t>
  </si>
  <si>
    <t xml:space="preserve">dataset</t>
  </si>
  <si>
    <t xml:space="preserve">issues</t>
  </si>
  <si>
    <t xml:space="preserve">rows_affected</t>
  </si>
  <si>
    <t xml:space="preserve">Critical</t>
  </si>
  <si>
    <t xml:space="preserve">High</t>
  </si>
  <si>
    <t xml:space="preserve">Low</t>
  </si>
  <si>
    <t xml:space="preserve">Medium</t>
  </si>
  <si>
    <t xml:space="preserve">ads_spend_daily</t>
  </si>
  <si>
    <t xml:space="preserve">customers</t>
  </si>
  <si>
    <t xml:space="preserve">inventory_movements</t>
  </si>
  <si>
    <t xml:space="preserve">inventory_snapshots_daily</t>
  </si>
  <si>
    <t xml:space="preserve">listing_traffic_daily</t>
  </si>
  <si>
    <t xml:space="preserve">listings</t>
  </si>
  <si>
    <t xml:space="preserve">market_prices</t>
  </si>
  <si>
    <t xml:space="preserve">order_items</t>
  </si>
  <si>
    <t xml:space="preserve">order_payments</t>
  </si>
  <si>
    <t xml:space="preserve">order_reviews</t>
  </si>
  <si>
    <t xml:space="preserve">order_status_history</t>
  </si>
  <si>
    <t xml:space="preserve">orders</t>
  </si>
  <si>
    <t xml:space="preserve">product_attributes</t>
  </si>
  <si>
    <t xml:space="preserve">product_bundles</t>
  </si>
  <si>
    <t xml:space="preserve">products</t>
  </si>
  <si>
    <t xml:space="preserve">purchase_orders</t>
  </si>
  <si>
    <t xml:space="preserve">stock_counts</t>
  </si>
  <si>
    <t xml:space="preserve">Dashboard lỗi cố ý — VN Beauty Orders Dataset</t>
  </si>
  <si>
    <t xml:space="preserve">Số loại lỗi = số mã issue_id; số bản ghi lỗi = số dòng bị tiêm trong bộ đầy đủ. Dataset được tách 3 nhóm theo số bản ghi lỗi (ít &lt; 100, trung bình 100–999, nhiều ≥ 1.000) để thang đo của biểu đồ không làm mất các giá trị nhỏ.</t>
  </si>
  <si>
    <t xml:space="preserve">Dữ liệu cho biểu đồ (có thể sửa, chart tự cập nhật)</t>
  </si>
  <si>
    <t xml:space="preserve">Tổng quan</t>
  </si>
  <si>
    <t xml:space="preserve">Tổng</t>
  </si>
  <si>
    <t xml:space="preserve">Tổng loại lỗi</t>
  </si>
  <si>
    <t xml:space="preserve">Tổng bản ghi lỗi</t>
  </si>
  <si>
    <t xml:space="preserve">mức độ</t>
  </si>
  <si>
    <t xml:space="preserve">số loại lỗi</t>
  </si>
  <si>
    <t xml:space="preserve">số bản ghi</t>
  </si>
  <si>
    <t xml:space="preserve">Nhóm: Ít lỗi (&lt; 100 bản ghi)</t>
  </si>
  <si>
    <t xml:space="preserve">Nhóm: Trung bình (100–999)</t>
  </si>
  <si>
    <t xml:space="preserve">Nhóm: Nhiều lỗi (≥ 1.000)</t>
  </si>
  <si>
    <t xml:space="preserve">Ma trận lỗi: dataset / cột × chiều chất lượng dữ liệu</t>
  </si>
  <si>
    <t xml:space="preserve">Ô có màu = có lỗi; số trong ô = số bản ghi lỗi. Bấm dấu [+] / [−] bên trái (hoặc nút 1 / 2 ở góc trên trái) để drill down xuống cột / drill up về dataset. Cột 'issue_ids' liệt kê mã lỗi để tra sheet Issue catalog.</t>
  </si>
  <si>
    <t xml:space="preserve">Thang màu:</t>
  </si>
  <si>
    <t xml:space="preserve">1–99</t>
  </si>
  <si>
    <t xml:space="preserve">100–999</t>
  </si>
  <si>
    <t xml:space="preserve">≥ 1.000</t>
  </si>
  <si>
    <t xml:space="preserve">≥ 5.000</t>
  </si>
  <si>
    <t xml:space="preserve">dataset / cột</t>
  </si>
  <si>
    <t xml:space="preserve">Trùng lặp
(Uniqueness)</t>
  </si>
  <si>
    <t xml:space="preserve">Hợp lệ
(Validity)</t>
  </si>
  <si>
    <t xml:space="preserve">Toàn vẹn khóa
(Integrity)</t>
  </si>
  <si>
    <t xml:space="preserve">Đầy đủ
(Completeness)</t>
  </si>
  <si>
    <t xml:space="preserve">Nhất quán
(Consistency)</t>
  </si>
  <si>
    <t xml:space="preserve">Chính xác
(Accuracy)</t>
  </si>
  <si>
    <t xml:space="preserve">Kịp thời
(Timeliness)</t>
  </si>
  <si>
    <t xml:space="preserve">Riêng tư (PII)
(Privacy)</t>
  </si>
  <si>
    <t xml:space="preserve">Tổng bản ghi</t>
  </si>
  <si>
    <t xml:space="preserve">Số loại lỗi</t>
  </si>
  <si>
    <t xml:space="preserve">Mức cao nhất</t>
  </si>
  <si>
    <t xml:space="preserve">issue_ids</t>
  </si>
  <si>
    <t xml:space="preserve">ORD-01, ORD-02, ORD-03, ORD-04, ORD-05, ORD-06, ORD-07, ORD-08, ORD-09, ORD-10</t>
  </si>
  <si>
    <t xml:space="preserve">    created_at</t>
  </si>
  <si>
    <t xml:space="preserve">ORD-05, ORD-10</t>
  </si>
  <si>
    <t xml:space="preserve">    province_name_raw</t>
  </si>
  <si>
    <t xml:space="preserve">ORD-04</t>
  </si>
  <si>
    <t xml:space="preserve">    carrier_id</t>
  </si>
  <si>
    <t xml:space="preserve">ORD-08</t>
  </si>
  <si>
    <t xml:space="preserve">    business_payment_amount</t>
  </si>
  <si>
    <t xml:space="preserve">ORD-06</t>
  </si>
  <si>
    <t xml:space="preserve">    (cả dòng)</t>
  </si>
  <si>
    <t xml:space="preserve">ORD-01</t>
  </si>
  <si>
    <t xml:space="preserve">    order_date</t>
  </si>
  <si>
    <t xml:space="preserve">ORD-09</t>
  </si>
  <si>
    <t xml:space="preserve">    status_code</t>
  </si>
  <si>
    <t xml:space="preserve">ORD-02</t>
  </si>
  <si>
    <t xml:space="preserve">    ship_fee_amount</t>
  </si>
  <si>
    <t xml:space="preserve">ORD-07</t>
  </si>
  <si>
    <t xml:space="preserve">    delivered_at</t>
  </si>
  <si>
    <t xml:space="preserve">ORD-03</t>
  </si>
  <si>
    <t xml:space="preserve">HIS-01, HIS-02, HIS-03</t>
  </si>
  <si>
    <t xml:space="preserve">HIS-01</t>
  </si>
  <si>
    <t xml:space="preserve">    changed_at</t>
  </si>
  <si>
    <t xml:space="preserve">HIS-02</t>
  </si>
  <si>
    <t xml:space="preserve">    order_id</t>
  </si>
  <si>
    <t xml:space="preserve">HIS-03</t>
  </si>
  <si>
    <t xml:space="preserve">ITM-01, ITM-02, ITM-03, ITM-04, ITM-05, ITM-06, ITM-07</t>
  </si>
  <si>
    <t xml:space="preserve">    avg_cost</t>
  </si>
  <si>
    <t xml:space="preserve">ITM-04</t>
  </si>
  <si>
    <t xml:space="preserve">    product_code</t>
  </si>
  <si>
    <t xml:space="preserve">ITM-05</t>
  </si>
  <si>
    <t xml:space="preserve">    total_amount</t>
  </si>
  <si>
    <t xml:space="preserve">ITM-07</t>
  </si>
  <si>
    <t xml:space="preserve">    unit_price</t>
  </si>
  <si>
    <t xml:space="preserve">ITM-06</t>
  </si>
  <si>
    <t xml:space="preserve">ITM-01</t>
  </si>
  <si>
    <t xml:space="preserve">    product_id</t>
  </si>
  <si>
    <t xml:space="preserve">ITM-02</t>
  </si>
  <si>
    <t xml:space="preserve">    quantity</t>
  </si>
  <si>
    <t xml:space="preserve">ITM-03</t>
  </si>
  <si>
    <t xml:space="preserve">CUS-01, CUS-02, CUS-03</t>
  </si>
  <si>
    <t xml:space="preserve">    customer_province_code</t>
  </si>
  <si>
    <t xml:space="preserve">CUS-02</t>
  </si>
  <si>
    <t xml:space="preserve">    customer_unique_id</t>
  </si>
  <si>
    <t xml:space="preserve">CUS-01</t>
  </si>
  <si>
    <t xml:space="preserve">CUS-03</t>
  </si>
  <si>
    <t xml:space="preserve">REV-01, REV-02, REV-03, REV-04, REV-05</t>
  </si>
  <si>
    <t xml:space="preserve">REV-05</t>
  </si>
  <si>
    <t xml:space="preserve">    comment_text</t>
  </si>
  <si>
    <t xml:space="preserve">REV-02</t>
  </si>
  <si>
    <t xml:space="preserve">    comment_id</t>
  </si>
  <si>
    <t xml:space="preserve">REV-04</t>
  </si>
  <si>
    <t xml:space="preserve">REV-03</t>
  </si>
  <si>
    <t xml:space="preserve">    rating_star</t>
  </si>
  <si>
    <t xml:space="preserve">REV-01</t>
  </si>
  <si>
    <t xml:space="preserve">PAY-01, PAY-02, PAY-03</t>
  </si>
  <si>
    <t xml:space="preserve">    payment_amount</t>
  </si>
  <si>
    <t xml:space="preserve">PAY-02, PAY-03</t>
  </si>
  <si>
    <t xml:space="preserve">    payment_type</t>
  </si>
  <si>
    <t xml:space="preserve">PAY-01</t>
  </si>
  <si>
    <t xml:space="preserve">INV-01, INV-02, INV-03, INV-04, INV-05</t>
  </si>
  <si>
    <t xml:space="preserve">    movement_date</t>
  </si>
  <si>
    <t xml:space="preserve">INV-04</t>
  </si>
  <si>
    <t xml:space="preserve">INV-02</t>
  </si>
  <si>
    <t xml:space="preserve">    bill_line_id</t>
  </si>
  <si>
    <t xml:space="preserve">INV-01</t>
  </si>
  <si>
    <t xml:space="preserve">INV-05</t>
  </si>
  <si>
    <t xml:space="preserve">    related_depot_id</t>
  </si>
  <si>
    <t xml:space="preserve">INV-03</t>
  </si>
  <si>
    <t xml:space="preserve">TRF-01, TRF-02, TRF-03</t>
  </si>
  <si>
    <t xml:space="preserve">    stat_date</t>
  </si>
  <si>
    <t xml:space="preserve">TRF-02</t>
  </si>
  <si>
    <t xml:space="preserve">    clicks</t>
  </si>
  <si>
    <t xml:space="preserve">TRF-01</t>
  </si>
  <si>
    <t xml:space="preserve">TRF-03</t>
  </si>
  <si>
    <t xml:space="preserve">SNP-01, SNP-02, SNP-03, SNP-04</t>
  </si>
  <si>
    <t xml:space="preserve">    available_qty</t>
  </si>
  <si>
    <t xml:space="preserve">SNP-01</t>
  </si>
  <si>
    <t xml:space="preserve">SNP-04</t>
  </si>
  <si>
    <t xml:space="preserve">    on_hand_qty</t>
  </si>
  <si>
    <t xml:space="preserve">SNP-02</t>
  </si>
  <si>
    <t xml:space="preserve">    snapshot_date</t>
  </si>
  <si>
    <t xml:space="preserve">SNP-03</t>
  </si>
  <si>
    <t xml:space="preserve">MKT-01, MKT-02, MKT-03, MKT-04, MKT-05</t>
  </si>
  <si>
    <t xml:space="preserve">    discount_percent</t>
  </si>
  <si>
    <t xml:space="preserve">MKT-02</t>
  </si>
  <si>
    <t xml:space="preserve">    stock_qty</t>
  </si>
  <si>
    <t xml:space="preserve">MKT-04</t>
  </si>
  <si>
    <t xml:space="preserve">    price</t>
  </si>
  <si>
    <t xml:space="preserve">MKT-01</t>
  </si>
  <si>
    <t xml:space="preserve">MKT-03</t>
  </si>
  <si>
    <t xml:space="preserve">    rating_avg</t>
  </si>
  <si>
    <t xml:space="preserve">MKT-05</t>
  </si>
  <si>
    <t xml:space="preserve">PO-01, PO-02, PO-03</t>
  </si>
  <si>
    <t xml:space="preserve">    received_date</t>
  </si>
  <si>
    <t xml:space="preserve">PO-02, PO-03</t>
  </si>
  <si>
    <t xml:space="preserve">    received_qty</t>
  </si>
  <si>
    <t xml:space="preserve">PO-01</t>
  </si>
  <si>
    <t xml:space="preserve">ADS-01, ADS-02</t>
  </si>
  <si>
    <t xml:space="preserve">ADS-02</t>
  </si>
  <si>
    <t xml:space="preserve">    spend_amount</t>
  </si>
  <si>
    <t xml:space="preserve">ADS-01</t>
  </si>
  <si>
    <t xml:space="preserve">CNT-01</t>
  </si>
  <si>
    <t xml:space="preserve">    diff_qty</t>
  </si>
  <si>
    <t xml:space="preserve">PRD-01, PRD-02, PRD-03, PRD-04, PRD-05, PRD-06</t>
  </si>
  <si>
    <t xml:space="preserve">    attr_color</t>
  </si>
  <si>
    <t xml:space="preserve">PRD-02</t>
  </si>
  <si>
    <t xml:space="preserve">    product_name</t>
  </si>
  <si>
    <t xml:space="preserve">PRD-06</t>
  </si>
  <si>
    <t xml:space="preserve">    category_id</t>
  </si>
  <si>
    <t xml:space="preserve">PRD-03</t>
  </si>
  <si>
    <t xml:space="preserve">PRD-01</t>
  </si>
  <si>
    <t xml:space="preserve">    weight_gram</t>
  </si>
  <si>
    <t xml:space="preserve">PRD-05</t>
  </si>
  <si>
    <t xml:space="preserve">    retail_price</t>
  </si>
  <si>
    <t xml:space="preserve">PRD-04</t>
  </si>
  <si>
    <t xml:space="preserve">BUN-01, BUN-02</t>
  </si>
  <si>
    <t xml:space="preserve">    component_product_id</t>
  </si>
  <si>
    <t xml:space="preserve">BUN-01</t>
  </si>
  <si>
    <t xml:space="preserve">    component_qty</t>
  </si>
  <si>
    <t xml:space="preserve">BUN-02</t>
  </si>
  <si>
    <t xml:space="preserve">LST-01</t>
  </si>
  <si>
    <t xml:space="preserve">ATT-01</t>
  </si>
  <si>
    <t xml:space="preserve">    attribute_name</t>
  </si>
  <si>
    <t xml:space="preserve">issue_id</t>
  </si>
  <si>
    <t xml:space="preserve">column</t>
  </si>
  <si>
    <t xml:space="preserve">issue_type</t>
  </si>
  <si>
    <t xml:space="preserve">dq_dimension</t>
  </si>
  <si>
    <t xml:space="preserve">severity</t>
  </si>
  <si>
    <t xml:space="preserve">rate</t>
  </si>
  <si>
    <t xml:space="preserve">rows_affected_full</t>
  </si>
  <si>
    <t xml:space="preserve">description</t>
  </si>
  <si>
    <t xml:space="preserve">example</t>
  </si>
  <si>
    <t xml:space="preserve">detection_rule</t>
  </si>
  <si>
    <t xml:space="preserve">suggested_handling</t>
  </si>
  <si>
    <t xml:space="preserve">*</t>
  </si>
  <si>
    <t xml:space="preserve">Bản ghi trùng hoàn toàn</t>
  </si>
  <si>
    <t xml:space="preserve">Uniqueness</t>
  </si>
  <si>
    <t xml:space="preserve">0.30%</t>
  </si>
  <si>
    <t xml:space="preserve">Đơn bị ghi 2 lần do extractor chạy lại cùng cửa sổ thời gian</t>
  </si>
  <si>
    <t xml:space="preserve">2 dòng giống hệt order_id=1012345</t>
  </si>
  <si>
    <t xml:space="preserve">COUNT(*) &gt; 1 GROUP BY order_id</t>
  </si>
  <si>
    <t xml:space="preserve">Khử trùng theo order_id, giữ bản updated_at mới nhất</t>
  </si>
  <si>
    <t xml:space="preserve">status_code</t>
  </si>
  <si>
    <t xml:space="preserve">Mã ngoài danh mục</t>
  </si>
  <si>
    <t xml:space="preserve">Validity</t>
  </si>
  <si>
    <t xml:space="preserve">0.20%</t>
  </si>
  <si>
    <t xml:space="preserve">Mã trạng thái 0 / 43 / 57 không có trong order_status (mã mới của hệ thống chưa map)</t>
  </si>
  <si>
    <t xml:space="preserve">status_code = 43</t>
  </si>
  <si>
    <t xml:space="preserve">status_code NOT IN (SELECT status_code FROM order_status)</t>
  </si>
  <si>
    <t xml:space="preserve">Map về -1 'Không xác định', cảnh báo để bổ sung danh mục</t>
  </si>
  <si>
    <t xml:space="preserve">delivered_at</t>
  </si>
  <si>
    <t xml:space="preserve">Thời gian phi logic</t>
  </si>
  <si>
    <t xml:space="preserve">Consistency</t>
  </si>
  <si>
    <t xml:space="preserve">0.10%</t>
  </si>
  <si>
    <t xml:space="preserve">delivered_at sớm hơn created_at (lỗi đồng bộ giờ từ hãng vận chuyển)</t>
  </si>
  <si>
    <t xml:space="preserve">created 2024-11-11 10:00, delivered 2024-11-10 09:00</t>
  </si>
  <si>
    <t xml:space="preserve">delivered_at &lt; created_at</t>
  </si>
  <si>
    <t xml:space="preserve">Đặt NULL + gắn cờ is_time_anomaly</t>
  </si>
  <si>
    <t xml:space="preserve">province_name_raw</t>
  </si>
  <si>
    <t xml:space="preserve">Thiếu giá trị / giá trị rỗng giả</t>
  </si>
  <si>
    <t xml:space="preserve">Completeness</t>
  </si>
  <si>
    <t xml:space="preserve">0.50%</t>
  </si>
  <si>
    <t xml:space="preserve">Tên tỉnh rỗng, 'null', 'N/A' hoặc chỉ khoảng trắng</t>
  </si>
  <si>
    <t xml:space="preserve">'N/A'</t>
  </si>
  <si>
    <t xml:space="preserve">TRIM(province_name_raw) IN ('', 'null', 'N/A')</t>
  </si>
  <si>
    <t xml:space="preserve">Lấy theo province_code; nếu cả hai thiếu → 'Không xác định'</t>
  </si>
  <si>
    <t xml:space="preserve">ORD-05</t>
  </si>
  <si>
    <t xml:space="preserve">created_at</t>
  </si>
  <si>
    <t xml:space="preserve">Sai định dạng / lệch múi giờ</t>
  </si>
  <si>
    <t xml:space="preserve">1.20%</t>
  </si>
  <si>
    <t xml:space="preserve">Một phần bản ghi lưu ISO-8601 UTC ('2024-05-01T03:15:00Z') hoặc 'dd/MM/yyyy HH:mm' thay vì giờ VN 'yyyy-MM-dd HH:mm:ss'</t>
  </si>
  <si>
    <t xml:space="preserve">'01/05/2024 10:15'</t>
  </si>
  <si>
    <t xml:space="preserve">Không khớp regex ^\d{4}-\d{2}-\d{2} \d{2}:\d{2}:\d{2}$</t>
  </si>
  <si>
    <t xml:space="preserve">Parse đa định dạng, quy đổi UTC → Asia/Ho_Chi_Minh</t>
  </si>
  <si>
    <t xml:space="preserve">business_payment_amount</t>
  </si>
  <si>
    <t xml:space="preserve">Lệch đối soát</t>
  </si>
  <si>
    <t xml:space="preserve">Accuracy</t>
  </si>
  <si>
    <t xml:space="preserve">0.40%</t>
  </si>
  <si>
    <t xml:space="preserve">Tiền khách trả ≠ Σ total_amount dòng − order_discount_amount + customer_ship_fee_amount</t>
  </si>
  <si>
    <t xml:space="preserve">Lệch 10.000đ</t>
  </si>
  <si>
    <t xml:space="preserve">ABS(bpa - (Σ lines - discount + ship)) &gt; 0</t>
  </si>
  <si>
    <t xml:space="preserve">Gắn cờ is_amount_mismatch, không tự sửa</t>
  </si>
  <si>
    <t xml:space="preserve">ship_fee_amount</t>
  </si>
  <si>
    <t xml:space="preserve">Giá trị âm</t>
  </si>
  <si>
    <t xml:space="preserve">Phí vận chuyển âm do nhập hoàn phí sai dấu</t>
  </si>
  <si>
    <t xml:space="preserve">-25000</t>
  </si>
  <si>
    <t xml:space="preserve">ship_fee_amount &lt; 0</t>
  </si>
  <si>
    <t xml:space="preserve">ABS() nếu nằm trong khoảng hợp lý, ngược lại NULL</t>
  </si>
  <si>
    <t xml:space="preserve">carrier_id</t>
  </si>
  <si>
    <t xml:space="preserve">Thiếu khóa ngoại bắt buộc</t>
  </si>
  <si>
    <t xml:space="preserve">Đơn đã giao/đang giao nhưng không có hãng vận chuyển</t>
  </si>
  <si>
    <t xml:space="preserve">status 60, carrier_id NULL</t>
  </si>
  <si>
    <t xml:space="preserve">status_code IN (59,60,71,72,74) AND carrier_id IS NULL</t>
  </si>
  <si>
    <t xml:space="preserve">Map về carrier 'Không xác định' (-1)</t>
  </si>
  <si>
    <t xml:space="preserve">order_date</t>
  </si>
  <si>
    <t xml:space="preserve">Không nhất quán dẫn xuất</t>
  </si>
  <si>
    <t xml:space="preserve">order_date lệch 1 ngày so với DATE(created_at) (tính theo UTC thay vì giờ VN)</t>
  </si>
  <si>
    <t xml:space="preserve">created 2024-11-11 06:30, order_date 2024-11-10</t>
  </si>
  <si>
    <t xml:space="preserve">order_date &lt;&gt; DATE(created_at)</t>
  </si>
  <si>
    <t xml:space="preserve">Tính lại order_date từ created_at giờ VN</t>
  </si>
  <si>
    <t xml:space="preserve">ORD-10</t>
  </si>
  <si>
    <t xml:space="preserve">Ngày tương lai</t>
  </si>
  <si>
    <t xml:space="preserve">0.02%</t>
  </si>
  <si>
    <t xml:space="preserve">Ngày tạo nằm sau ngày chốt dữ liệu (2026-09-30) do sai đồng hồ máy POS</t>
  </si>
  <si>
    <t xml:space="preserve">2027-01-05 10:00:00</t>
  </si>
  <si>
    <t xml:space="preserve">created_at &gt; snapshot_date của dataset</t>
  </si>
  <si>
    <t xml:space="preserve">Loại khỏi fact, đưa vào bảng quarantine</t>
  </si>
  <si>
    <t xml:space="preserve">order_id</t>
  </si>
  <si>
    <t xml:space="preserve">Bản ghi mồ côi</t>
  </si>
  <si>
    <t xml:space="preserve">Integrity</t>
  </si>
  <si>
    <t xml:space="preserve">Dòng hàng có order_id không tồn tại trong orders (đơn bị xóa ở nguồn)</t>
  </si>
  <si>
    <t xml:space="preserve">order_id 1999999</t>
  </si>
  <si>
    <t xml:space="preserve">LEFT JOIN orders IS NULL</t>
  </si>
  <si>
    <t xml:space="preserve">Quarantine; không đưa vào fact</t>
  </si>
  <si>
    <t xml:space="preserve">product_id</t>
  </si>
  <si>
    <t xml:space="preserve">Khóa ngoại không tồn tại</t>
  </si>
  <si>
    <t xml:space="preserve">SKU đã bị xóa khỏi danh mục</t>
  </si>
  <si>
    <t xml:space="preserve">product_id 39999</t>
  </si>
  <si>
    <t xml:space="preserve">product_id NOT IN products</t>
  </si>
  <si>
    <t xml:space="preserve">Map về product_key = -1 (unknown)</t>
  </si>
  <si>
    <t xml:space="preserve">quantity</t>
  </si>
  <si>
    <t xml:space="preserve">Giá trị ngoài miền</t>
  </si>
  <si>
    <t xml:space="preserve">Số lượng 0 hoặc âm</t>
  </si>
  <si>
    <t xml:space="preserve">quantity = 0</t>
  </si>
  <si>
    <t xml:space="preserve">quantity &lt;= 0</t>
  </si>
  <si>
    <t xml:space="preserve">Loại dòng khỏi fact, ghi log</t>
  </si>
  <si>
    <t xml:space="preserve">avg_cost</t>
  </si>
  <si>
    <t xml:space="preserve">Giá vốn bất thường</t>
  </si>
  <si>
    <t xml:space="preserve">Giá vốn = 0 hoặc rỗng (SKU mới chưa có phiếu nhập)</t>
  </si>
  <si>
    <t xml:space="preserve">avg_cost = 0</t>
  </si>
  <si>
    <t xml:space="preserve">avg_cost IS NULL OR avg_cost &lt;= 0 OR avg_cost &gt; unit_price * 3</t>
  </si>
  <si>
    <t xml:space="preserve">Lấy import_price của products; gắn is_cost_anomaly</t>
  </si>
  <si>
    <t xml:space="preserve">product_code</t>
  </si>
  <si>
    <t xml:space="preserve">Sai chuẩn hóa chuỗi</t>
  </si>
  <si>
    <t xml:space="preserve">product_code viết thường / có khoảng trắng thừa so với products.product_code</t>
  </si>
  <si>
    <t xml:space="preserve">' mtn-gn-01 '</t>
  </si>
  <si>
    <t xml:space="preserve">product_code &lt;&gt; UPPER(TRIM(product_code))</t>
  </si>
  <si>
    <t xml:space="preserve">UPPER(TRIM()) trước khi join; ưu tiên join bằng product_id</t>
  </si>
  <si>
    <t xml:space="preserve">unit_price</t>
  </si>
  <si>
    <t xml:space="preserve">Không nhất quán giá</t>
  </si>
  <si>
    <t xml:space="preserve">Giá bán lớn hơn giá niêm yết</t>
  </si>
  <si>
    <t xml:space="preserve">unit_price 59000 &gt; original_price 49000</t>
  </si>
  <si>
    <t xml:space="preserve">unit_price &gt; original_price</t>
  </si>
  <si>
    <t xml:space="preserve">Gắn cờ; giữ nguyên để kiểm tra lại cấu hình giá</t>
  </si>
  <si>
    <t xml:space="preserve">total_amount</t>
  </si>
  <si>
    <t xml:space="preserve">Lệch phép tính</t>
  </si>
  <si>
    <t xml:space="preserve">total_amount ≠ quantity × unit_price − line_discount_amount</t>
  </si>
  <si>
    <t xml:space="preserve">2 × 49000 − 0 = 98000 nhưng total 95000</t>
  </si>
  <si>
    <t xml:space="preserve">total_amount &lt;&gt; quantity*unit_price - line_discount_amount</t>
  </si>
  <si>
    <t xml:space="preserve">Tính lại, ghi log chênh lệch</t>
  </si>
  <si>
    <t xml:space="preserve">payment_type</t>
  </si>
  <si>
    <t xml:space="preserve">payment_type = 'not_defined' (giống Olist)</t>
  </si>
  <si>
    <t xml:space="preserve">'not_defined'</t>
  </si>
  <si>
    <t xml:space="preserve">payment_type NOT IN danh mục</t>
  </si>
  <si>
    <t xml:space="preserve">Map 'unknown'</t>
  </si>
  <si>
    <t xml:space="preserve">PAY-02</t>
  </si>
  <si>
    <t xml:space="preserve">payment_amount</t>
  </si>
  <si>
    <t xml:space="preserve">Σ payment (trừ platform_voucher) ≠ orders.business_payment_amount</t>
  </si>
  <si>
    <t xml:space="preserve">Thiếu dòng COD</t>
  </si>
  <si>
    <t xml:space="preserve">Đối soát theo order_id</t>
  </si>
  <si>
    <t xml:space="preserve">Gắn cờ, đối soát thủ công</t>
  </si>
  <si>
    <t xml:space="preserve">PAY-03</t>
  </si>
  <si>
    <t xml:space="preserve">Giá trị âm / bằng 0</t>
  </si>
  <si>
    <t xml:space="preserve">Số tiền thanh toán ≤ 0</t>
  </si>
  <si>
    <t xml:space="preserve">0</t>
  </si>
  <si>
    <t xml:space="preserve">payment_amount &lt;= 0</t>
  </si>
  <si>
    <t xml:space="preserve">Loại khỏi tổng hợp doanh thu</t>
  </si>
  <si>
    <t xml:space="preserve">Sự kiện trùng</t>
  </si>
  <si>
    <t xml:space="preserve">Cùng order_id + status_code + changed_at xuất hiện 2 lần (webhook gửi lặp)</t>
  </si>
  <si>
    <t xml:space="preserve">2 dòng 59 giống nhau</t>
  </si>
  <si>
    <t xml:space="preserve">COUNT(*) &gt; 1 GROUP BY order_id, status_code, changed_at</t>
  </si>
  <si>
    <t xml:space="preserve">Khử trùng</t>
  </si>
  <si>
    <t xml:space="preserve">changed_at</t>
  </si>
  <si>
    <t xml:space="preserve">Sai thứ tự thời gian</t>
  </si>
  <si>
    <t xml:space="preserve">Trạng thái sau có thời gian sớm hơn trạng thái trước (sự kiện đến muộn)</t>
  </si>
  <si>
    <t xml:space="preserve">60 lúc 10:00, 59 lúc 11:00</t>
  </si>
  <si>
    <t xml:space="preserve">changed_at giảm khi sắp theo thứ tự chuẩn của luồng trạng thái</t>
  </si>
  <si>
    <t xml:space="preserve">Sắp theo thứ tự nghiệp vụ, dùng ingest_time làm phụ</t>
  </si>
  <si>
    <t xml:space="preserve">Thiếu lịch sử</t>
  </si>
  <si>
    <t xml:space="preserve">Đơn có trong orders nhưng không có dòng lịch sử nào</t>
  </si>
  <si>
    <t xml:space="preserve">-</t>
  </si>
  <si>
    <t xml:space="preserve">orders LEFT JOIN history IS NULL</t>
  </si>
  <si>
    <t xml:space="preserve">Dựng lại tối thiểu từ created_at/packed_at/delivered_at</t>
  </si>
  <si>
    <t xml:space="preserve">rating_star</t>
  </si>
  <si>
    <t xml:space="preserve">Số sao 0 hoặc 6</t>
  </si>
  <si>
    <t xml:space="preserve">6</t>
  </si>
  <si>
    <t xml:space="preserve">rating_star NOT BETWEEN 1 AND 5</t>
  </si>
  <si>
    <t xml:space="preserve">Loại khỏi tính điểm trung bình</t>
  </si>
  <si>
    <t xml:space="preserve">comment_text</t>
  </si>
  <si>
    <t xml:space="preserve">Chứa dữ liệu cá nhân (PII)</t>
  </si>
  <si>
    <t xml:space="preserve">Privacy</t>
  </si>
  <si>
    <t xml:space="preserve">Bình luận chứa số điện thoại / email / zalo (số hư cấu)</t>
  </si>
  <si>
    <t xml:space="preserve">'... liên hệ 0912 345 678'</t>
  </si>
  <si>
    <t xml:space="preserve">Regex SĐT VN (0|\+84)\d{9} hoặc email</t>
  </si>
  <si>
    <t xml:space="preserve">Che (mask) trước khi vào Silver; không lưu bản gốc ở Gold</t>
  </si>
  <si>
    <t xml:space="preserve">Đánh giá tạo trước khi đơn được giao</t>
  </si>
  <si>
    <t xml:space="preserve">review trước delivered_at</t>
  </si>
  <si>
    <t xml:space="preserve">created_at &lt; orders.delivered_at</t>
  </si>
  <si>
    <t xml:space="preserve">Gắn cờ is_time_anomaly</t>
  </si>
  <si>
    <t xml:space="preserve">comment_id</t>
  </si>
  <si>
    <t xml:space="preserve">Khóa chính trùng</t>
  </si>
  <si>
    <t xml:space="preserve">Cùng comment_id nhưng nội dung khác (đã sửa đánh giá)</t>
  </si>
  <si>
    <t xml:space="preserve">COUNT(*) &gt; 1 GROUP BY comment_id</t>
  </si>
  <si>
    <t xml:space="preserve">Giữ bản modified_at mới nhất</t>
  </si>
  <si>
    <t xml:space="preserve">Thiếu khóa nối</t>
  </si>
  <si>
    <t xml:space="preserve">1.00%</t>
  </si>
  <si>
    <t xml:space="preserve">order_id rỗng, chỉ còn marketplace_order_sn</t>
  </si>
  <si>
    <t xml:space="preserve">order_id IS NULL</t>
  </si>
  <si>
    <t xml:space="preserve">Nối lại qua marketplace_order_sn</t>
  </si>
  <si>
    <t xml:space="preserve">customer_unique_id</t>
  </si>
  <si>
    <t xml:space="preserve">customer_unique_id viết hoa / có khoảng trắng → tách thành 2 khách</t>
  </si>
  <si>
    <t xml:space="preserve">'AB12… '</t>
  </si>
  <si>
    <t xml:space="preserve">customer_unique_id &lt;&gt; LOWER(TRIM())</t>
  </si>
  <si>
    <t xml:space="preserve">LOWER(TRIM()) trước khi đếm khách</t>
  </si>
  <si>
    <t xml:space="preserve">customer_province_code</t>
  </si>
  <si>
    <t xml:space="preserve">Thiếu / sai mã</t>
  </si>
  <si>
    <t xml:space="preserve">Mã tỉnh rỗng hoặc '99' không tồn tại</t>
  </si>
  <si>
    <t xml:space="preserve">'99'</t>
  </si>
  <si>
    <t xml:space="preserve">NOT IN geolocation</t>
  </si>
  <si>
    <t xml:space="preserve">Suy ra từ customer_province_name_raw</t>
  </si>
  <si>
    <t xml:space="preserve">Bản ghi trùng</t>
  </si>
  <si>
    <t xml:space="preserve">Dòng khách bị lặp</t>
  </si>
  <si>
    <t xml:space="preserve">COUNT(*) &gt; 1 GROUP BY customer_id</t>
  </si>
  <si>
    <t xml:space="preserve">SKU trùng do chuẩn hóa</t>
  </si>
  <si>
    <t xml:space="preserve">2 bản ghi</t>
  </si>
  <si>
    <t xml:space="preserve">Thêm bản ghi SKU viết thường/có khoảng trắng với product_id mới (tạo trùng khi nhập lại danh mục)</t>
  </si>
  <si>
    <t xml:space="preserve">'mtn-gn-01 '</t>
  </si>
  <si>
    <t xml:space="preserve">COUNT(*) &gt; 1 GROUP BY UPPER(TRIM(product_code))</t>
  </si>
  <si>
    <t xml:space="preserve">Gộp về product_id gốc, lập bảng mapping</t>
  </si>
  <si>
    <t xml:space="preserve">attr_color</t>
  </si>
  <si>
    <t xml:space="preserve">Giá trị không chuẩn hóa</t>
  </si>
  <si>
    <t xml:space="preserve">15.00%</t>
  </si>
  <si>
    <t xml:space="preserve">Cùng màu nhưng viết khác: 'trắng', 'White', 'Trang', 'Hong phan'</t>
  </si>
  <si>
    <t xml:space="preserve">'White'</t>
  </si>
  <si>
    <t xml:space="preserve">Giá trị không thuộc từ điển màu chuẩn</t>
  </si>
  <si>
    <t xml:space="preserve">Chuẩn hóa bằng bảng từ điển màu</t>
  </si>
  <si>
    <t xml:space="preserve">category_id</t>
  </si>
  <si>
    <t xml:space="preserve">Thiếu giá trị</t>
  </si>
  <si>
    <t xml:space="preserve">SKU không có danh mục</t>
  </si>
  <si>
    <t xml:space="preserve">NULL</t>
  </si>
  <si>
    <t xml:space="preserve">category_id IS NULL</t>
  </si>
  <si>
    <t xml:space="preserve">Gán theo parent_code; nếu không có → 'Chưa phân loại'</t>
  </si>
  <si>
    <t xml:space="preserve">retail_price</t>
  </si>
  <si>
    <t xml:space="preserve">1 bản ghi</t>
  </si>
  <si>
    <t xml:space="preserve">Giá bán lẻ thấp hơn giá nhập</t>
  </si>
  <si>
    <t xml:space="preserve">retail 25000 &lt; import 30000</t>
  </si>
  <si>
    <t xml:space="preserve">retail_price &lt; import_price</t>
  </si>
  <si>
    <t xml:space="preserve">Cảnh báo cho phòng kinh doanh</t>
  </si>
  <si>
    <t xml:space="preserve">weight_gram</t>
  </si>
  <si>
    <t xml:space="preserve">Giá trị 0</t>
  </si>
  <si>
    <t xml:space="preserve">Khối lượng 0 gram</t>
  </si>
  <si>
    <t xml:space="preserve">weight_gram &lt;= 0</t>
  </si>
  <si>
    <t xml:space="preserve">Lấy trung vị theo parent_code</t>
  </si>
  <si>
    <t xml:space="preserve">product_name</t>
  </si>
  <si>
    <t xml:space="preserve">Ký tự thừa</t>
  </si>
  <si>
    <t xml:space="preserve">5.00%</t>
  </si>
  <si>
    <t xml:space="preserve">Tên có khoảng trắng kép, emoji, ký tự đặc biệt</t>
  </si>
  <si>
    <t xml:space="preserve">'Mút  tán nền ✨'</t>
  </si>
  <si>
    <t xml:space="preserve">Regex ký tự không thuộc chữ/số/dấu câu</t>
  </si>
  <si>
    <t xml:space="preserve">Làm sạch chuỗi</t>
  </si>
  <si>
    <t xml:space="preserve">component_product_id</t>
  </si>
  <si>
    <t xml:space="preserve">Thành phần combo trỏ tới SKU không có</t>
  </si>
  <si>
    <t xml:space="preserve">39998</t>
  </si>
  <si>
    <t xml:space="preserve">NOT IN products</t>
  </si>
  <si>
    <t xml:space="preserve">Loại thành phần, cảnh báo</t>
  </si>
  <si>
    <t xml:space="preserve">component_qty</t>
  </si>
  <si>
    <t xml:space="preserve">Số lượng thành phần = 0</t>
  </si>
  <si>
    <t xml:space="preserve">component_qty &lt;= 0</t>
  </si>
  <si>
    <t xml:space="preserve">Cảnh báo, mặc định 1</t>
  </si>
  <si>
    <t xml:space="preserve">attribute_name</t>
  </si>
  <si>
    <t xml:space="preserve">Không chuẩn hóa tên thuộc tính</t>
  </si>
  <si>
    <t xml:space="preserve">3.00%</t>
  </si>
  <si>
    <t xml:space="preserve">'Color', 'MÀU', ' color' thay vì 'color'</t>
  </si>
  <si>
    <t xml:space="preserve">'Color'</t>
  </si>
  <si>
    <t xml:space="preserve">attribute_name NOT IN ('color','material','shape','size','pack_qty')</t>
  </si>
  <si>
    <t xml:space="preserve">LOWER(TRIM()) + bảng ánh xạ</t>
  </si>
  <si>
    <t xml:space="preserve">bill_line_id</t>
  </si>
  <si>
    <t xml:space="preserve">0.05%</t>
  </si>
  <si>
    <t xml:space="preserve">Dòng phiếu kho bị nạp 2 lần</t>
  </si>
  <si>
    <t xml:space="preserve">COUNT(*) &gt; 1 GROUP BY bill_line_id</t>
  </si>
  <si>
    <t xml:space="preserve">Sai dấu</t>
  </si>
  <si>
    <t xml:space="preserve">quantity âm (hướng nhập/xuất đã nằm ở bill_type)</t>
  </si>
  <si>
    <t xml:space="preserve">-5</t>
  </si>
  <si>
    <t xml:space="preserve">ABS(quantity), hướng lấy từ movement_types.direction</t>
  </si>
  <si>
    <t xml:space="preserve">related_depot_id</t>
  </si>
  <si>
    <t xml:space="preserve">Thiếu giá trị bắt buộc</t>
  </si>
  <si>
    <t xml:space="preserve">Phiếu chuyển kho không có kho đối ứng</t>
  </si>
  <si>
    <t xml:space="preserve">bill_mode 3, related NULL</t>
  </si>
  <si>
    <t xml:space="preserve">bill_mode = 3 AND related_depot_id IS NULL</t>
  </si>
  <si>
    <t xml:space="preserve">Suy ra từ bill_id cặp xuất/nhập</t>
  </si>
  <si>
    <t xml:space="preserve">movement_date</t>
  </si>
  <si>
    <t xml:space="preserve">Ghi lùi ngày</t>
  </si>
  <si>
    <t xml:space="preserve">Timeliness</t>
  </si>
  <si>
    <t xml:space="preserve">movement_date sớm hơn DATE(created_at) &gt; 3 ngày (nhập liệu bù)</t>
  </si>
  <si>
    <t xml:space="preserve">movement 2024-03-01, created 2024-03-10</t>
  </si>
  <si>
    <t xml:space="preserve">DATE(created_at) - movement_date &gt; 3</t>
  </si>
  <si>
    <t xml:space="preserve">Giữ movement_date cho tồn kho, gắn cờ is_backdated</t>
  </si>
  <si>
    <t xml:space="preserve">SKU không có trong products</t>
  </si>
  <si>
    <t xml:space="preserve">39997</t>
  </si>
  <si>
    <t xml:space="preserve">Quarantine</t>
  </si>
  <si>
    <t xml:space="preserve">available_qty</t>
  </si>
  <si>
    <t xml:space="preserve">Không nhất quán</t>
  </si>
  <si>
    <t xml:space="preserve">available_qty &gt; on_hand_qty</t>
  </si>
  <si>
    <t xml:space="preserve">on_hand 10, available 15</t>
  </si>
  <si>
    <t xml:space="preserve">available = on_hand - holding</t>
  </si>
  <si>
    <t xml:space="preserve">on_hand_qty</t>
  </si>
  <si>
    <t xml:space="preserve">Tồn âm do xuất trước khi phiếu nhập được ghi</t>
  </si>
  <si>
    <t xml:space="preserve">-3</t>
  </si>
  <si>
    <t xml:space="preserve">on_hand_qty &lt; 0</t>
  </si>
  <si>
    <t xml:space="preserve">Gắn cờ is_negative_stock; tái dựng từ movements</t>
  </si>
  <si>
    <t xml:space="preserve">snapshot_date</t>
  </si>
  <si>
    <t xml:space="preserve">Thiếu ngày</t>
  </si>
  <si>
    <t xml:space="preserve">3 bản ghi</t>
  </si>
  <si>
    <t xml:space="preserve">Mất toàn bộ snapshot của vài ngày (job snapshot lỗi)</t>
  </si>
  <si>
    <t xml:space="preserve">Không có ngày 2024-07-14</t>
  </si>
  <si>
    <t xml:space="preserve">Lịch ngày liên tục LEFT JOIN snapshot IS NULL</t>
  </si>
  <si>
    <t xml:space="preserve">Tái dựng từ movements hoặc forward-fill có gắn cờ</t>
  </si>
  <si>
    <t xml:space="preserve">Trùng (snapshot_date, depot_id, product_id)</t>
  </si>
  <si>
    <t xml:space="preserve">COUNT(*) &gt; 1 GROUP BY khóa</t>
  </si>
  <si>
    <t xml:space="preserve">received_qty</t>
  </si>
  <si>
    <t xml:space="preserve">Vượt số lượng đặt</t>
  </si>
  <si>
    <t xml:space="preserve">Nhận nhiều hơn số đặt</t>
  </si>
  <si>
    <t xml:space="preserve">order 100, received 130</t>
  </si>
  <si>
    <t xml:space="preserve">received_qty &gt; order_qty * 1.1</t>
  </si>
  <si>
    <t xml:space="preserve">Cảnh báo mua hàng</t>
  </si>
  <si>
    <t xml:space="preserve">PO-02</t>
  </si>
  <si>
    <t xml:space="preserve">received_date</t>
  </si>
  <si>
    <t xml:space="preserve">Ngày nhận trước ngày đặt</t>
  </si>
  <si>
    <t xml:space="preserve">received_date &lt; order_date</t>
  </si>
  <si>
    <t xml:space="preserve">Gắn cờ, loại khỏi tính lead time</t>
  </si>
  <si>
    <t xml:space="preserve">PO-03</t>
  </si>
  <si>
    <t xml:space="preserve">po_status = 'received' nhưng received_date rỗng</t>
  </si>
  <si>
    <t xml:space="preserve">po_status='received' AND received_date IS NULL</t>
  </si>
  <si>
    <t xml:space="preserve">Lấy từ phiếu nhập tương ứng (po_id)</t>
  </si>
  <si>
    <t xml:space="preserve">diff_qty</t>
  </si>
  <si>
    <t xml:space="preserve">diff_qty ≠ counted_qty − system_qty</t>
  </si>
  <si>
    <t xml:space="preserve">diff_qty &lt;&gt; counted_qty - system_qty</t>
  </si>
  <si>
    <t xml:space="preserve">Tính lại</t>
  </si>
  <si>
    <t xml:space="preserve">Mapping mơ hồ</t>
  </si>
  <si>
    <t xml:space="preserve">Một (shop, item_id, model_id) map tới 2 SKU khác nhau</t>
  </si>
  <si>
    <t xml:space="preserve">COUNT(DISTINCT product_id) &gt; 1 GROUP BY shop, item, model</t>
  </si>
  <si>
    <t xml:space="preserve">Chọn bản ghi mới nhất; cảnh báo vận hành sàn</t>
  </si>
  <si>
    <t xml:space="preserve">clicks</t>
  </si>
  <si>
    <t xml:space="preserve">Không nhất quán phễu</t>
  </si>
  <si>
    <t xml:space="preserve">clicks &gt; impressions</t>
  </si>
  <si>
    <t xml:space="preserve">Gắn cờ; loại khỏi tính CTR</t>
  </si>
  <si>
    <t xml:space="preserve">stat_date</t>
  </si>
  <si>
    <t xml:space="preserve">Mất dòng ngày của một số item (API sàn lỗi)</t>
  </si>
  <si>
    <t xml:space="preserve">Lịch ngày × item LEFT JOIN IS NULL</t>
  </si>
  <si>
    <t xml:space="preserve">Để trống, không nội suy</t>
  </si>
  <si>
    <t xml:space="preserve">Trùng (stat_date, shop_code, item_id)</t>
  </si>
  <si>
    <t xml:space="preserve">COUNT(*) &gt; 1</t>
  </si>
  <si>
    <t xml:space="preserve">spend_amount</t>
  </si>
  <si>
    <t xml:space="preserve">Chi phí âm (hoàn tiền quảng cáo ghi sai)</t>
  </si>
  <si>
    <t xml:space="preserve">-120000</t>
  </si>
  <si>
    <t xml:space="preserve">spend_amount &lt; 0</t>
  </si>
  <si>
    <t xml:space="preserve">Tách thành dòng refund</t>
  </si>
  <si>
    <t xml:space="preserve">Gắn cờ</t>
  </si>
  <si>
    <t xml:space="preserve">price</t>
  </si>
  <si>
    <t xml:space="preserve">Sai kiểu dữ liệu</t>
  </si>
  <si>
    <t xml:space="preserve">Giá dạng chuỗi có định dạng VN: '189.000đ'</t>
  </si>
  <si>
    <t xml:space="preserve">'189.000đ'</t>
  </si>
  <si>
    <t xml:space="preserve">price không phải số</t>
  </si>
  <si>
    <t xml:space="preserve">Bỏ ký tự, đổi về số nguyên</t>
  </si>
  <si>
    <t xml:space="preserve">discount_percent</t>
  </si>
  <si>
    <t xml:space="preserve">2.00%</t>
  </si>
  <si>
    <t xml:space="preserve">discount_percent ≠ ROUND((1 - price/market_price) × 100)</t>
  </si>
  <si>
    <t xml:space="preserve">ABS(diff) &gt; 2</t>
  </si>
  <si>
    <t xml:space="preserve">Tính lại từ price và market_price</t>
  </si>
  <si>
    <t xml:space="preserve">Crawler chạy 2 lần cùng ngày</t>
  </si>
  <si>
    <t xml:space="preserve">COUNT(*) &gt; 1 GROUP BY snapshot_date, market_item_id</t>
  </si>
  <si>
    <t xml:space="preserve">Giữ crawled_at mới nhất</t>
  </si>
  <si>
    <t xml:space="preserve">stock_qty</t>
  </si>
  <si>
    <t xml:space="preserve">Không lấy được tồn kho (trang đổi giao diện)</t>
  </si>
  <si>
    <t xml:space="preserve">stock_qty IS NULL</t>
  </si>
  <si>
    <t xml:space="preserve">Để trống</t>
  </si>
  <si>
    <t xml:space="preserve">rating_avg</t>
  </si>
  <si>
    <t xml:space="preserve">Điểm đánh giá &gt; 5 do parse nhầm số lượt</t>
  </si>
  <si>
    <t xml:space="preserve">48.0</t>
  </si>
  <si>
    <t xml:space="preserve">rating_avg NOT BETWEEN 0 AND 5</t>
  </si>
  <si>
    <t xml:space="preserve">Đặt NULL</t>
  </si>
  <si>
    <t xml:space="preserve">row_key</t>
  </si>
  <si>
    <t xml:space="preserve">original_value</t>
  </si>
  <si>
    <t xml:space="preserve">injected_value</t>
  </si>
  <si>
    <t xml:space="preserve">1114541</t>
  </si>
  <si>
    <t xml:space="preserve">60</t>
  </si>
  <si>
    <t xml:space="preserve">57</t>
  </si>
  <si>
    <t xml:space="preserve">1220182</t>
  </si>
  <si>
    <t xml:space="preserve">1233504</t>
  </si>
  <si>
    <t xml:space="preserve">1178492</t>
  </si>
  <si>
    <t xml:space="preserve">2024-12-03 03:19:32</t>
  </si>
  <si>
    <t xml:space="preserve">2024-11-29 11:45:47</t>
  </si>
  <si>
    <t xml:space="preserve">1057844</t>
  </si>
  <si>
    <t xml:space="preserve">2022-12-16 21:51:35</t>
  </si>
  <si>
    <t xml:space="preserve">2022-12-12 23:14:15</t>
  </si>
  <si>
    <t xml:space="preserve">1222945</t>
  </si>
  <si>
    <t xml:space="preserve">2025-07-22 23:24:19</t>
  </si>
  <si>
    <t xml:space="preserve">2025-07-19 23:24:06</t>
  </si>
  <si>
    <t xml:space="preserve">1267716</t>
  </si>
  <si>
    <t xml:space="preserve">TP.HCM</t>
  </si>
  <si>
    <t xml:space="preserve">N/A</t>
  </si>
  <si>
    <t xml:space="preserve">1041356</t>
  </si>
  <si>
    <t xml:space="preserve">Hồ Chí Minh</t>
  </si>
  <si>
    <t xml:space="preserve">1295774</t>
  </si>
  <si>
    <t xml:space="preserve">Hải Dương</t>
  </si>
  <si>
    <t xml:space="preserve">1304433</t>
  </si>
  <si>
    <t xml:space="preserve">2026-08-14 09:55:59</t>
  </si>
  <si>
    <t xml:space="preserve">2026-08-14T02:55:59Z</t>
  </si>
  <si>
    <t xml:space="preserve">1241602</t>
  </si>
  <si>
    <t xml:space="preserve">2025-10-11 17:25:52</t>
  </si>
  <si>
    <t xml:space="preserve">11/10/2025 17:25</t>
  </si>
  <si>
    <t xml:space="preserve">1050871</t>
  </si>
  <si>
    <t xml:space="preserve">2022-10-19 11:20:46</t>
  </si>
  <si>
    <t xml:space="preserve">2022-10-19T04:20:46Z</t>
  </si>
  <si>
    <t xml:space="preserve">1091414</t>
  </si>
  <si>
    <t xml:space="preserve">35800</t>
  </si>
  <si>
    <t xml:space="preserve">45800</t>
  </si>
  <si>
    <t xml:space="preserve">1279321</t>
  </si>
  <si>
    <t xml:space="preserve">32400</t>
  </si>
  <si>
    <t xml:space="preserve">37400</t>
  </si>
  <si>
    <t xml:space="preserve">1152821</t>
  </si>
  <si>
    <t xml:space="preserve">101400</t>
  </si>
  <si>
    <t xml:space="preserve">81400</t>
  </si>
  <si>
    <t xml:space="preserve">1228033</t>
  </si>
  <si>
    <t xml:space="preserve">30000</t>
  </si>
  <si>
    <t xml:space="preserve">-30000</t>
  </si>
  <si>
    <t xml:space="preserve">1274562</t>
  </si>
  <si>
    <t xml:space="preserve">25000</t>
  </si>
  <si>
    <t xml:space="preserve">1265809</t>
  </si>
  <si>
    <t xml:space="preserve">1085611</t>
  </si>
  <si>
    <t xml:space="preserve">14.0</t>
  </si>
  <si>
    <t xml:space="preserve">1295288</t>
  </si>
  <si>
    <t xml:space="preserve">1103686</t>
  </si>
  <si>
    <t xml:space="preserve">17.0</t>
  </si>
  <si>
    <t xml:space="preserve">1278736</t>
  </si>
  <si>
    <t xml:space="preserve">2026-04-08</t>
  </si>
  <si>
    <t xml:space="preserve">2026-04-07</t>
  </si>
  <si>
    <t xml:space="preserve">1090977</t>
  </si>
  <si>
    <t xml:space="preserve">2023-08-12</t>
  </si>
  <si>
    <t xml:space="preserve">2023-08-11</t>
  </si>
  <si>
    <t xml:space="preserve">1082276</t>
  </si>
  <si>
    <t xml:space="preserve">2023-06-17</t>
  </si>
  <si>
    <t xml:space="preserve">2023-06-16</t>
  </si>
  <si>
    <t xml:space="preserve">1176907</t>
  </si>
  <si>
    <t xml:space="preserve">2024-11-23 12:21:25</t>
  </si>
  <si>
    <t xml:space="preserve">1199258</t>
  </si>
  <si>
    <t xml:space="preserve">2025-03-23 10:58:07</t>
  </si>
  <si>
    <t xml:space="preserve">1165065</t>
  </si>
  <si>
    <t xml:space="preserve">2024-10-02 08:33:44</t>
  </si>
  <si>
    <t xml:space="preserve">121421605</t>
  </si>
  <si>
    <t xml:space="preserve">1214216</t>
  </si>
  <si>
    <t xml:space="preserve">1999653</t>
  </si>
  <si>
    <t xml:space="preserve">131392701</t>
  </si>
  <si>
    <t xml:space="preserve">1313927</t>
  </si>
  <si>
    <t xml:space="preserve">1999197</t>
  </si>
  <si>
    <t xml:space="preserve">105728801</t>
  </si>
  <si>
    <t xml:space="preserve">1057288</t>
  </si>
  <si>
    <t xml:space="preserve">1999604</t>
  </si>
  <si>
    <t xml:space="preserve">125752102</t>
  </si>
  <si>
    <t xml:space="preserve">30009</t>
  </si>
  <si>
    <t xml:space="preserve">39999</t>
  </si>
  <si>
    <t xml:space="preserve">122004401</t>
  </si>
  <si>
    <t xml:space="preserve">30100</t>
  </si>
  <si>
    <t xml:space="preserve">115398901</t>
  </si>
  <si>
    <t xml:space="preserve">30015</t>
  </si>
  <si>
    <t xml:space="preserve">121640803</t>
  </si>
  <si>
    <t xml:space="preserve">1</t>
  </si>
  <si>
    <t xml:space="preserve">108244103</t>
  </si>
  <si>
    <t xml:space="preserve">3</t>
  </si>
  <si>
    <t xml:space="preserve">-1</t>
  </si>
  <si>
    <t xml:space="preserve">111146801</t>
  </si>
  <si>
    <t xml:space="preserve">100741802</t>
  </si>
  <si>
    <t xml:space="preserve">33076</t>
  </si>
  <si>
    <t xml:space="preserve">116935902</t>
  </si>
  <si>
    <t xml:space="preserve">13407</t>
  </si>
  <si>
    <t xml:space="preserve">127126201</t>
  </si>
  <si>
    <t xml:space="preserve">71219</t>
  </si>
  <si>
    <t xml:space="preserve">103874703</t>
  </si>
  <si>
    <t xml:space="preserve">GU-CT-02</t>
  </si>
  <si>
    <t xml:space="preserve">gu-ct-02</t>
  </si>
  <si>
    <t xml:space="preserve">123933201</t>
  </si>
  <si>
    <t xml:space="preserve">CN-DB-01</t>
  </si>
  <si>
    <t xml:space="preserve"> cn-db-01 </t>
  </si>
  <si>
    <t xml:space="preserve">104256602</t>
  </si>
  <si>
    <t xml:space="preserve">BTT-HP-01</t>
  </si>
  <si>
    <t xml:space="preserve">btt-hp-01</t>
  </si>
  <si>
    <t xml:space="preserve">111531401</t>
  </si>
  <si>
    <t xml:space="preserve">83800</t>
  </si>
  <si>
    <t xml:space="preserve">95000</t>
  </si>
  <si>
    <t xml:space="preserve">118840601</t>
  </si>
  <si>
    <t xml:space="preserve">78400</t>
  </si>
  <si>
    <t xml:space="preserve">93000</t>
  </si>
  <si>
    <t xml:space="preserve">131378301</t>
  </si>
  <si>
    <t xml:space="preserve">35300</t>
  </si>
  <si>
    <t xml:space="preserve">48000</t>
  </si>
  <si>
    <t xml:space="preserve">115605101</t>
  </si>
  <si>
    <t xml:space="preserve">27700</t>
  </si>
  <si>
    <t xml:space="preserve">24700</t>
  </si>
  <si>
    <t xml:space="preserve">110529403</t>
  </si>
  <si>
    <t xml:space="preserve">180400</t>
  </si>
  <si>
    <t xml:space="preserve">177400</t>
  </si>
  <si>
    <t xml:space="preserve">117121702</t>
  </si>
  <si>
    <t xml:space="preserve">88600</t>
  </si>
  <si>
    <t xml:space="preserve">85600</t>
  </si>
  <si>
    <t xml:space="preserve">1061635|1</t>
  </si>
  <si>
    <t xml:space="preserve">e_wallet</t>
  </si>
  <si>
    <t xml:space="preserve">not_defined</t>
  </si>
  <si>
    <t xml:space="preserve">1203301|1</t>
  </si>
  <si>
    <t xml:space="preserve">card</t>
  </si>
  <si>
    <t xml:space="preserve">1193760|1</t>
  </si>
  <si>
    <t xml:space="preserve">cod</t>
  </si>
  <si>
    <t xml:space="preserve">1018232|1</t>
  </si>
  <si>
    <t xml:space="preserve">32200</t>
  </si>
  <si>
    <t xml:space="preserve">28980</t>
  </si>
  <si>
    <t xml:space="preserve">1106084|1</t>
  </si>
  <si>
    <t xml:space="preserve">341600</t>
  </si>
  <si>
    <t xml:space="preserve">307440</t>
  </si>
  <si>
    <t xml:space="preserve">1108605|1</t>
  </si>
  <si>
    <t xml:space="preserve">383600</t>
  </si>
  <si>
    <t xml:space="preserve">345240</t>
  </si>
  <si>
    <t xml:space="preserve">1192716|1</t>
  </si>
  <si>
    <t xml:space="preserve">817100</t>
  </si>
  <si>
    <t xml:space="preserve">1181267|1</t>
  </si>
  <si>
    <t xml:space="preserve">186200</t>
  </si>
  <si>
    <t xml:space="preserve">1069505|1</t>
  </si>
  <si>
    <t xml:space="preserve">25800</t>
  </si>
  <si>
    <t xml:space="preserve">1172440|59</t>
  </si>
  <si>
    <t xml:space="preserve">2024-11-05 20:19:18</t>
  </si>
  <si>
    <t xml:space="preserve">2024-11-04 22:19:18</t>
  </si>
  <si>
    <t xml:space="preserve">1064207|59</t>
  </si>
  <si>
    <t xml:space="preserve">2023-02-09 17:54:40</t>
  </si>
  <si>
    <t xml:space="preserve">2023-02-09 01:54:40</t>
  </si>
  <si>
    <t xml:space="preserve">1123075|59</t>
  </si>
  <si>
    <t xml:space="preserve">2024-02-22 21:04:58</t>
  </si>
  <si>
    <t xml:space="preserve">2024-02-22 18:04:58</t>
  </si>
  <si>
    <t xml:space="preserve">1175922</t>
  </si>
  <si>
    <t xml:space="preserve">deleted</t>
  </si>
  <si>
    <t xml:space="preserve">1053365</t>
  </si>
  <si>
    <t xml:space="preserve">1159593</t>
  </si>
  <si>
    <t xml:space="preserve">1255198|59</t>
  </si>
  <si>
    <t xml:space="preserve">duplicated</t>
  </si>
  <si>
    <t xml:space="preserve">1030296|59</t>
  </si>
  <si>
    <t xml:space="preserve">1298075|54</t>
  </si>
  <si>
    <t xml:space="preserve">9000460382</t>
  </si>
  <si>
    <t xml:space="preserve">5</t>
  </si>
  <si>
    <t xml:space="preserve">9000053238</t>
  </si>
  <si>
    <t xml:space="preserve">9000672752</t>
  </si>
  <si>
    <t xml:space="preserve">4</t>
  </si>
  <si>
    <t xml:space="preserve">9000509701</t>
  </si>
  <si>
    <t xml:space="preserve">Màu này xinh xỉu, đúng như hình</t>
  </si>
  <si>
    <t xml:space="preserve">Màu này xinh xỉu, đúng như hình. Ai cần mua sỉ liên hệ 0921325394 nha</t>
  </si>
  <si>
    <t xml:space="preserve">9000551267</t>
  </si>
  <si>
    <t xml:space="preserve">Dùng được, không quá xuất sắc</t>
  </si>
  <si>
    <t xml:space="preserve">Dùng được, không quá xuất sắc. Ai cần mua sỉ liên hệ 0750020814 nha</t>
  </si>
  <si>
    <t xml:space="preserve">9000260367</t>
  </si>
  <si>
    <t xml:space="preserve">Tạm được, màu này hơi khác ảnh</t>
  </si>
  <si>
    <t xml:space="preserve">Tạm được, màu này hơi khác ảnh. Ai cần mua sỉ liên hệ 0933936295 nha</t>
  </si>
  <si>
    <t xml:space="preserve">9000357973</t>
  </si>
  <si>
    <t xml:space="preserve">2024-10-06 08:52:48</t>
  </si>
  <si>
    <t xml:space="preserve">2024-09-28 08:52:48</t>
  </si>
  <si>
    <t xml:space="preserve">9000027942</t>
  </si>
  <si>
    <t xml:space="preserve">2021-09-15 14:32:33</t>
  </si>
  <si>
    <t xml:space="preserve">2021-08-27 14:32:33</t>
  </si>
  <si>
    <t xml:space="preserve">9000417431</t>
  </si>
  <si>
    <t xml:space="preserve">2025-02-02 22:08:28</t>
  </si>
  <si>
    <t xml:space="preserve">2025-01-25 22:08:28</t>
  </si>
  <si>
    <t xml:space="preserve">9000202595</t>
  </si>
  <si>
    <t xml:space="preserve">1097043</t>
  </si>
  <si>
    <t xml:space="preserve">9000530071</t>
  </si>
  <si>
    <t xml:space="preserve">1237645</t>
  </si>
  <si>
    <t xml:space="preserve">9000184559</t>
  </si>
  <si>
    <t xml:space="preserve">1088971</t>
  </si>
  <si>
    <t xml:space="preserve">9000652951</t>
  </si>
  <si>
    <t xml:space="preserve">duplicated_edit</t>
  </si>
  <si>
    <t xml:space="preserve">9000038854</t>
  </si>
  <si>
    <t xml:space="preserve">9000353172</t>
  </si>
  <si>
    <t xml:space="preserve">c9798a6554ba1a72</t>
  </si>
  <si>
    <t xml:space="preserve">cdb66ccb5b79b6dc698255f0e8397023</t>
  </si>
  <si>
    <t xml:space="preserve">cdb66ccb5b79b6dc698255f0e8397023 </t>
  </si>
  <si>
    <t xml:space="preserve">cb47319b35905b61</t>
  </si>
  <si>
    <t xml:space="preserve">06e531ef2f9d27b70f410d4fc91b6218</t>
  </si>
  <si>
    <t xml:space="preserve">06E531EF2F9D27B70F410D4FC91B6218</t>
  </si>
  <si>
    <t xml:space="preserve">c509f255b5c466f9</t>
  </si>
  <si>
    <t xml:space="preserve">c4ba691bb6e4f784f1773aa4dd312747</t>
  </si>
  <si>
    <t xml:space="preserve">c4ba691bb6e4f784f1773aa4dd312747 </t>
  </si>
  <si>
    <t xml:space="preserve">c8bc69a5f9b56a02</t>
  </si>
  <si>
    <t xml:space="preserve">79</t>
  </si>
  <si>
    <t xml:space="preserve">c939e615b5fe5a67</t>
  </si>
  <si>
    <t xml:space="preserve">58</t>
  </si>
  <si>
    <t xml:space="preserve">99</t>
  </si>
  <si>
    <t xml:space="preserve">c0ff7038773f7cc7</t>
  </si>
  <si>
    <t xml:space="preserve">c7e8b3f2f7911abc</t>
  </si>
  <si>
    <t xml:space="preserve">c8d1487b2f732c9f</t>
  </si>
  <si>
    <t xml:space="preserve">cbdba3df077d1833</t>
  </si>
  <si>
    <t xml:space="preserve">39001</t>
  </si>
  <si>
    <t xml:space="preserve">km-in-02 </t>
  </si>
  <si>
    <t xml:space="preserve">39002</t>
  </si>
  <si>
    <t xml:space="preserve">dc-my-02 </t>
  </si>
  <si>
    <t xml:space="preserve">30075</t>
  </si>
  <si>
    <t xml:space="preserve">Trắng</t>
  </si>
  <si>
    <t xml:space="preserve">White</t>
  </si>
  <si>
    <t xml:space="preserve">30055</t>
  </si>
  <si>
    <t xml:space="preserve">Hồng</t>
  </si>
  <si>
    <t xml:space="preserve">hong</t>
  </si>
  <si>
    <t xml:space="preserve">30031</t>
  </si>
  <si>
    <t xml:space="preserve">Pink</t>
  </si>
  <si>
    <t xml:space="preserve">30012</t>
  </si>
  <si>
    <t xml:space="preserve">1101</t>
  </si>
  <si>
    <t xml:space="preserve">30092</t>
  </si>
  <si>
    <t xml:space="preserve">1701</t>
  </si>
  <si>
    <t xml:space="preserve">30022</t>
  </si>
  <si>
    <t xml:space="preserve">59000</t>
  </si>
  <si>
    <t xml:space="preserve">15600</t>
  </si>
  <si>
    <t xml:space="preserve">30081</t>
  </si>
  <si>
    <t xml:space="preserve">150</t>
  </si>
  <si>
    <t xml:space="preserve">30036</t>
  </si>
  <si>
    <t xml:space="preserve">14</t>
  </si>
  <si>
    <t xml:space="preserve">30062</t>
  </si>
  <si>
    <t xml:space="preserve">Lược gỡ rối Velia - Hồng</t>
  </si>
  <si>
    <t xml:space="preserve">Lược  gỡ rối Velia - Hồng</t>
  </si>
  <si>
    <t xml:space="preserve">30013</t>
  </si>
  <si>
    <t xml:space="preserve">Cọ nền đầu bằng Velia - Bạc</t>
  </si>
  <si>
    <t xml:space="preserve"> Cọ nền đầu bằng Velia - Bạc</t>
  </si>
  <si>
    <t xml:space="preserve">30072</t>
  </si>
  <si>
    <t xml:space="preserve">Thảm rửa cọ silicon Mira - Hồng</t>
  </si>
  <si>
    <t xml:space="preserve">Thảm rửa cọ silicon Mira - Hồng ✨</t>
  </si>
  <si>
    <t xml:space="preserve">30089|39998</t>
  </si>
  <si>
    <t xml:space="preserve">30047</t>
  </si>
  <si>
    <t xml:space="preserve">30093|30001</t>
  </si>
  <si>
    <t xml:space="preserve">30031| color</t>
  </si>
  <si>
    <t xml:space="preserve">color</t>
  </si>
  <si>
    <t xml:space="preserve"> color</t>
  </si>
  <si>
    <t xml:space="preserve">76001</t>
  </si>
  <si>
    <t xml:space="preserve">208708</t>
  </si>
  <si>
    <t xml:space="preserve">310201</t>
  </si>
  <si>
    <t xml:space="preserve">142448</t>
  </si>
  <si>
    <t xml:space="preserve">2.0</t>
  </si>
  <si>
    <t xml:space="preserve">99696</t>
  </si>
  <si>
    <t xml:space="preserve">318115</t>
  </si>
  <si>
    <t xml:space="preserve">196256</t>
  </si>
  <si>
    <t xml:space="preserve">2025-01-02</t>
  </si>
  <si>
    <t xml:space="preserve">2024-12-29</t>
  </si>
  <si>
    <t xml:space="preserve">7232</t>
  </si>
  <si>
    <t xml:space="preserve">2021-06-07</t>
  </si>
  <si>
    <t xml:space="preserve">2021-06-02</t>
  </si>
  <si>
    <t xml:space="preserve">3045</t>
  </si>
  <si>
    <t xml:space="preserve">2021-03-19</t>
  </si>
  <si>
    <t xml:space="preserve">2021-03-15</t>
  </si>
  <si>
    <t xml:space="preserve">140095</t>
  </si>
  <si>
    <t xml:space="preserve">30001</t>
  </si>
  <si>
    <t xml:space="preserve">289510</t>
  </si>
  <si>
    <t xml:space="preserve">30008</t>
  </si>
  <si>
    <t xml:space="preserve">332084</t>
  </si>
  <si>
    <t xml:space="preserve">30060</t>
  </si>
  <si>
    <t xml:space="preserve">80912</t>
  </si>
  <si>
    <t xml:space="preserve">214674</t>
  </si>
  <si>
    <t xml:space="preserve">235359</t>
  </si>
  <si>
    <t xml:space="preserve">2023-03-21|1|30002</t>
  </si>
  <si>
    <t xml:space="preserve">315</t>
  </si>
  <si>
    <t xml:space="preserve">2062</t>
  </si>
  <si>
    <t xml:space="preserve">2026-02-18|3|30074</t>
  </si>
  <si>
    <t xml:space="preserve">101</t>
  </si>
  <si>
    <t xml:space="preserve">2025-01-26|4|30057</t>
  </si>
  <si>
    <t xml:space="preserve">15</t>
  </si>
  <si>
    <t xml:space="preserve">2024-06-14|2|30027</t>
  </si>
  <si>
    <t xml:space="preserve">413</t>
  </si>
  <si>
    <t xml:space="preserve">-4</t>
  </si>
  <si>
    <t xml:space="preserve">2026-02-11|3|30003</t>
  </si>
  <si>
    <t xml:space="preserve">973</t>
  </si>
  <si>
    <t xml:space="preserve">2026-07-22|4|30074</t>
  </si>
  <si>
    <t xml:space="preserve">2023-06-03</t>
  </si>
  <si>
    <t xml:space="preserve">deleted_day</t>
  </si>
  <si>
    <t xml:space="preserve">2021-05-18</t>
  </si>
  <si>
    <t xml:space="preserve">2021-11-14</t>
  </si>
  <si>
    <t xml:space="preserve">2023-01-10|1|30030</t>
  </si>
  <si>
    <t xml:space="preserve">2024-02-16|1|30009</t>
  </si>
  <si>
    <t xml:space="preserve">2023-07-10|3|30083</t>
  </si>
  <si>
    <t xml:space="preserve">PO2307-9774-02</t>
  </si>
  <si>
    <t xml:space="preserve">90.0</t>
  </si>
  <si>
    <t xml:space="preserve">117</t>
  </si>
  <si>
    <t xml:space="preserve">PO2601-10716-01</t>
  </si>
  <si>
    <t xml:space="preserve">180.0</t>
  </si>
  <si>
    <t xml:space="preserve">234</t>
  </si>
  <si>
    <t xml:space="preserve">PO2209-9465-01</t>
  </si>
  <si>
    <t xml:space="preserve">210.0</t>
  </si>
  <si>
    <t xml:space="preserve">273</t>
  </si>
  <si>
    <t xml:space="preserve">PO2505-10462-01</t>
  </si>
  <si>
    <t xml:space="preserve">2025-06-04</t>
  </si>
  <si>
    <t xml:space="preserve">2025-05-11</t>
  </si>
  <si>
    <t xml:space="preserve">PO2204-9320-02</t>
  </si>
  <si>
    <t xml:space="preserve">2022-05-04</t>
  </si>
  <si>
    <t xml:space="preserve">2022-04-03</t>
  </si>
  <si>
    <t xml:space="preserve">PO2501-10337-01</t>
  </si>
  <si>
    <t xml:space="preserve">2025-01-26</t>
  </si>
  <si>
    <t xml:space="preserve">PO2311-9917-05</t>
  </si>
  <si>
    <t xml:space="preserve">2023-12-26</t>
  </si>
  <si>
    <t xml:space="preserve">PO2408-10194-06</t>
  </si>
  <si>
    <t xml:space="preserve">2024-09-15</t>
  </si>
  <si>
    <t xml:space="preserve">PO2203-9306-01</t>
  </si>
  <si>
    <t xml:space="preserve">2022-03-28</t>
  </si>
  <si>
    <t xml:space="preserve">KK202409|1|30059</t>
  </si>
  <si>
    <t xml:space="preserve">KK202409|1|30055</t>
  </si>
  <si>
    <t xml:space="preserve">-2</t>
  </si>
  <si>
    <t xml:space="preserve">KK202212|2|30070</t>
  </si>
  <si>
    <t xml:space="preserve">2</t>
  </si>
  <si>
    <t xml:space="preserve">SHP_MALL:2200267025:2-dup</t>
  </si>
  <si>
    <t xml:space="preserve">30017</t>
  </si>
  <si>
    <t xml:space="preserve">30063</t>
  </si>
  <si>
    <t xml:space="preserve">2022-07-17|TTS_01|2204676146</t>
  </si>
  <si>
    <t xml:space="preserve">126</t>
  </si>
  <si>
    <t xml:space="preserve">2024-07-17|LZD_01|2205803608</t>
  </si>
  <si>
    <t xml:space="preserve">119</t>
  </si>
  <si>
    <t xml:space="preserve">2024-12-03|LZD_01|2207011739</t>
  </si>
  <si>
    <t xml:space="preserve">7</t>
  </si>
  <si>
    <t xml:space="preserve">170</t>
  </si>
  <si>
    <t xml:space="preserve">2025-11-28|LZD_01|2207216946</t>
  </si>
  <si>
    <t xml:space="preserve">2025-01-11|LZD_01|2206027931</t>
  </si>
  <si>
    <t xml:space="preserve">2023-10-07|SHP_MALL|2201466985</t>
  </si>
  <si>
    <t xml:space="preserve">2023-10-08|SHP_02|2202531922</t>
  </si>
  <si>
    <t xml:space="preserve">2025-05-26|SHP_MALL|2201230561</t>
  </si>
  <si>
    <t xml:space="preserve">2026-07-01|SHP_02|2202790950</t>
  </si>
  <si>
    <t xml:space="preserve">2021-02-24|LZD_01|LZD_01-SEA</t>
  </si>
  <si>
    <t xml:space="preserve">26907</t>
  </si>
  <si>
    <t xml:space="preserve">-26907</t>
  </si>
  <si>
    <t xml:space="preserve">2022-06-28|LZD_01|LZD_01-DIS</t>
  </si>
  <si>
    <t xml:space="preserve">18791</t>
  </si>
  <si>
    <t xml:space="preserve">-18791</t>
  </si>
  <si>
    <t xml:space="preserve">2024-04-23|TTS_01|TTS_01-SEA</t>
  </si>
  <si>
    <t xml:space="preserve">331565</t>
  </si>
  <si>
    <t xml:space="preserve">-331565</t>
  </si>
  <si>
    <t xml:space="preserve">2026-02-11|SHP_MALL|SHP_MALL-AFF</t>
  </si>
  <si>
    <t xml:space="preserve">32</t>
  </si>
  <si>
    <t xml:space="preserve">1440</t>
  </si>
  <si>
    <t xml:space="preserve">2024-08-24|SHP_MALL|SHP_MALL-SEA</t>
  </si>
  <si>
    <t xml:space="preserve">527</t>
  </si>
  <si>
    <t xml:space="preserve">45889</t>
  </si>
  <si>
    <t xml:space="preserve">2025-04-17|TTS_01|TTS_01-LIV</t>
  </si>
  <si>
    <t xml:space="preserve">56</t>
  </si>
  <si>
    <t xml:space="preserve">2516</t>
  </si>
  <si>
    <t xml:space="preserve">2026-01-19|5003</t>
  </si>
  <si>
    <t xml:space="preserve">246000</t>
  </si>
  <si>
    <t xml:space="preserve">246.000đ</t>
  </si>
  <si>
    <t xml:space="preserve">2023-08-21|6038</t>
  </si>
  <si>
    <t xml:space="preserve">97000</t>
  </si>
  <si>
    <t xml:space="preserve">97.000đ</t>
  </si>
  <si>
    <t xml:space="preserve">2025-05-05|5024</t>
  </si>
  <si>
    <t xml:space="preserve">41000</t>
  </si>
  <si>
    <t xml:space="preserve">41.000đ</t>
  </si>
  <si>
    <t xml:space="preserve">2023-08-28|6038</t>
  </si>
  <si>
    <t xml:space="preserve">9</t>
  </si>
  <si>
    <t xml:space="preserve">2023-12-11|6039</t>
  </si>
  <si>
    <t xml:space="preserve">21</t>
  </si>
  <si>
    <t xml:space="preserve">28</t>
  </si>
  <si>
    <t xml:space="preserve">2026-01-19|5005</t>
  </si>
  <si>
    <t xml:space="preserve">18</t>
  </si>
  <si>
    <t xml:space="preserve">2026-06-01|6039</t>
  </si>
  <si>
    <t xml:space="preserve">85</t>
  </si>
  <si>
    <t xml:space="preserve">2023-02-06|5026</t>
  </si>
  <si>
    <t xml:space="preserve">33</t>
  </si>
  <si>
    <t xml:space="preserve">2023-05-22|6082</t>
  </si>
  <si>
    <t xml:space="preserve">206</t>
  </si>
  <si>
    <t xml:space="preserve">2024-08-19|6061</t>
  </si>
  <si>
    <t xml:space="preserve">4.3</t>
  </si>
  <si>
    <t xml:space="preserve">43.0</t>
  </si>
  <si>
    <t xml:space="preserve">2023-10-16|6010</t>
  </si>
  <si>
    <t xml:space="preserve">4.7</t>
  </si>
  <si>
    <t xml:space="preserve">47.0</t>
  </si>
  <si>
    <t xml:space="preserve">2024-09-30|5000</t>
  </si>
  <si>
    <t xml:space="preserve">4.9</t>
  </si>
  <si>
    <t xml:space="preserve">49.0</t>
  </si>
  <si>
    <t xml:space="preserve">2023-04-03|5023</t>
  </si>
  <si>
    <t xml:space="preserve">2023-07-24|6062</t>
  </si>
  <si>
    <t xml:space="preserve">2023-11-27|5006</t>
  </si>
  <si>
    <t xml:space="preserve">1059672</t>
  </si>
  <si>
    <t xml:space="preserve">1234925</t>
  </si>
  <si>
    <t xml:space="preserve">1291628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</si>
</sst>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b val="true"/>
      <sz val="18"/>
      <color rgb="FFFFC000"/>
      <name val="Arial"/>
      <family val="0"/>
      <charset val="1"/>
    </font>
    <font>
      <b val="true"/>
      <sz val="18"/>
      <color rgb="FF70AD4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0"/>
      <color rgb="FFE26B0A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54823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E26B0A"/>
      </patternFill>
    </fill>
    <fill>
      <patternFill patternType="solid">
        <fgColor rgb="FFFFC000"/>
        <bgColor rgb="FFF4B183"/>
      </patternFill>
    </fill>
    <fill>
      <patternFill patternType="solid">
        <fgColor rgb="FF70AD47"/>
        <bgColor rgb="FF548235"/>
      </patternFill>
    </fill>
    <fill>
      <patternFill patternType="solid">
        <fgColor rgb="FFFFF2CC"/>
        <bgColor rgb="FFF9F9F9"/>
      </patternFill>
    </fill>
    <fill>
      <patternFill patternType="solid">
        <fgColor rgb="FFF4B183"/>
        <bgColor rgb="FFFF99CC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000000"/>
      </font>
      <fill>
        <patternFill>
          <bgColor rgb="FFF4B183"/>
        </patternFill>
      </fill>
    </dxf>
    <dxf>
      <font>
        <b val="1"/>
        <color rgb="FF000000"/>
      </font>
      <fill>
        <patternFill>
          <bgColor rgb="FFFFC000"/>
        </patternFill>
      </fill>
    </dxf>
    <dxf>
      <font>
        <b val="1"/>
        <color rgb="FF000000"/>
      </font>
      <fill>
        <patternFill>
          <bgColor rgb="FFFFF2CC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6B0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ED7D3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BF8F00"/>
      <rgbColor rgb="FFE26B0A"/>
      <rgbColor rgb="FF4F81BD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Số loại lỗi theo dataset và mức độ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Dashboard!S4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Dashboard!$R$5:$R$21</c:f>
              <c:strCache>
                <c:ptCount val="17"/>
                <c:pt idx="0">
                  <c:v>orders</c:v>
                </c:pt>
                <c:pt idx="1">
                  <c:v>order_items</c:v>
                </c:pt>
                <c:pt idx="2">
                  <c:v>products</c:v>
                </c:pt>
                <c:pt idx="3">
                  <c:v>market_prices</c:v>
                </c:pt>
                <c:pt idx="4">
                  <c:v>inventory_movements</c:v>
                </c:pt>
                <c:pt idx="5">
                  <c:v>order_reviews</c:v>
                </c:pt>
                <c:pt idx="6">
                  <c:v>inventory_snapshots_daily</c:v>
                </c:pt>
                <c:pt idx="7">
                  <c:v>purchase_orders</c:v>
                </c:pt>
                <c:pt idx="8">
                  <c:v>listing_traffic_daily</c:v>
                </c:pt>
                <c:pt idx="9">
                  <c:v>customers</c:v>
                </c:pt>
                <c:pt idx="10">
                  <c:v>order_payments</c:v>
                </c:pt>
                <c:pt idx="11">
                  <c:v>order_status_history</c:v>
                </c:pt>
                <c:pt idx="12">
                  <c:v>ads_spend_daily</c:v>
                </c:pt>
                <c:pt idx="13">
                  <c:v>product_bundles</c:v>
                </c:pt>
                <c:pt idx="14">
                  <c:v>listings</c:v>
                </c:pt>
                <c:pt idx="15">
                  <c:v>product_attributes</c:v>
                </c:pt>
                <c:pt idx="16">
                  <c:v>stock_counts</c:v>
                </c:pt>
              </c:strCache>
            </c:strRef>
          </c:cat>
          <c:val>
            <c:numRef>
              <c:f>Dashboard!$S$5:$S$21</c:f>
              <c:numCache>
                <c:formatCode>General</c:formatCode>
                <c:ptCount val="17"/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Dashboard!T4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Dashboard!$R$5:$R$21</c:f>
              <c:strCache>
                <c:ptCount val="17"/>
                <c:pt idx="0">
                  <c:v>orders</c:v>
                </c:pt>
                <c:pt idx="1">
                  <c:v>order_items</c:v>
                </c:pt>
                <c:pt idx="2">
                  <c:v>products</c:v>
                </c:pt>
                <c:pt idx="3">
                  <c:v>market_prices</c:v>
                </c:pt>
                <c:pt idx="4">
                  <c:v>inventory_movements</c:v>
                </c:pt>
                <c:pt idx="5">
                  <c:v>order_reviews</c:v>
                </c:pt>
                <c:pt idx="6">
                  <c:v>inventory_snapshots_daily</c:v>
                </c:pt>
                <c:pt idx="7">
                  <c:v>purchase_orders</c:v>
                </c:pt>
                <c:pt idx="8">
                  <c:v>listing_traffic_daily</c:v>
                </c:pt>
                <c:pt idx="9">
                  <c:v>customers</c:v>
                </c:pt>
                <c:pt idx="10">
                  <c:v>order_payments</c:v>
                </c:pt>
                <c:pt idx="11">
                  <c:v>order_status_history</c:v>
                </c:pt>
                <c:pt idx="12">
                  <c:v>ads_spend_daily</c:v>
                </c:pt>
                <c:pt idx="13">
                  <c:v>product_bundles</c:v>
                </c:pt>
                <c:pt idx="14">
                  <c:v>listings</c:v>
                </c:pt>
                <c:pt idx="15">
                  <c:v>product_attributes</c:v>
                </c:pt>
                <c:pt idx="16">
                  <c:v>stock_counts</c:v>
                </c:pt>
              </c:strCache>
            </c:strRef>
          </c:cat>
          <c:val>
            <c:numRef>
              <c:f>Dashboard!$T$5:$T$21</c:f>
              <c:numCache>
                <c:formatCode>General</c:formatCode>
                <c:ptCount val="17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10">
                  <c:v>1</c:v>
                </c:pt>
                <c:pt idx="13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Dashboard!U4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fc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Dashboard!$R$5:$R$21</c:f>
              <c:strCache>
                <c:ptCount val="17"/>
                <c:pt idx="0">
                  <c:v>orders</c:v>
                </c:pt>
                <c:pt idx="1">
                  <c:v>order_items</c:v>
                </c:pt>
                <c:pt idx="2">
                  <c:v>products</c:v>
                </c:pt>
                <c:pt idx="3">
                  <c:v>market_prices</c:v>
                </c:pt>
                <c:pt idx="4">
                  <c:v>inventory_movements</c:v>
                </c:pt>
                <c:pt idx="5">
                  <c:v>order_reviews</c:v>
                </c:pt>
                <c:pt idx="6">
                  <c:v>inventory_snapshots_daily</c:v>
                </c:pt>
                <c:pt idx="7">
                  <c:v>purchase_orders</c:v>
                </c:pt>
                <c:pt idx="8">
                  <c:v>listing_traffic_daily</c:v>
                </c:pt>
                <c:pt idx="9">
                  <c:v>customers</c:v>
                </c:pt>
                <c:pt idx="10">
                  <c:v>order_payments</c:v>
                </c:pt>
                <c:pt idx="11">
                  <c:v>order_status_history</c:v>
                </c:pt>
                <c:pt idx="12">
                  <c:v>ads_spend_daily</c:v>
                </c:pt>
                <c:pt idx="13">
                  <c:v>product_bundles</c:v>
                </c:pt>
                <c:pt idx="14">
                  <c:v>listings</c:v>
                </c:pt>
                <c:pt idx="15">
                  <c:v>product_attributes</c:v>
                </c:pt>
                <c:pt idx="16">
                  <c:v>stock_counts</c:v>
                </c:pt>
              </c:strCache>
            </c:strRef>
          </c:cat>
          <c:val>
            <c:numRef>
              <c:f>Dashboard!$U$5:$U$21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ser>
          <c:idx val="3"/>
          <c:order val="3"/>
          <c:tx>
            <c:strRef>
              <c:f>Dashboard!V4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Dashboard!$R$5:$R$21</c:f>
              <c:strCache>
                <c:ptCount val="17"/>
                <c:pt idx="0">
                  <c:v>orders</c:v>
                </c:pt>
                <c:pt idx="1">
                  <c:v>order_items</c:v>
                </c:pt>
                <c:pt idx="2">
                  <c:v>products</c:v>
                </c:pt>
                <c:pt idx="3">
                  <c:v>market_prices</c:v>
                </c:pt>
                <c:pt idx="4">
                  <c:v>inventory_movements</c:v>
                </c:pt>
                <c:pt idx="5">
                  <c:v>order_reviews</c:v>
                </c:pt>
                <c:pt idx="6">
                  <c:v>inventory_snapshots_daily</c:v>
                </c:pt>
                <c:pt idx="7">
                  <c:v>purchase_orders</c:v>
                </c:pt>
                <c:pt idx="8">
                  <c:v>listing_traffic_daily</c:v>
                </c:pt>
                <c:pt idx="9">
                  <c:v>customers</c:v>
                </c:pt>
                <c:pt idx="10">
                  <c:v>order_payments</c:v>
                </c:pt>
                <c:pt idx="11">
                  <c:v>order_status_history</c:v>
                </c:pt>
                <c:pt idx="12">
                  <c:v>ads_spend_daily</c:v>
                </c:pt>
                <c:pt idx="13">
                  <c:v>product_bundles</c:v>
                </c:pt>
                <c:pt idx="14">
                  <c:v>listings</c:v>
                </c:pt>
                <c:pt idx="15">
                  <c:v>product_attributes</c:v>
                </c:pt>
                <c:pt idx="16">
                  <c:v>stock_counts</c:v>
                </c:pt>
              </c:strCache>
            </c:strRef>
          </c:cat>
          <c:val>
            <c:numRef>
              <c:f>Dashboard!$V$5:$V$21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gapWidth val="150"/>
        <c:overlap val="100"/>
        <c:axId val="22544880"/>
        <c:axId val="69712420"/>
      </c:barChart>
      <c:catAx>
        <c:axId val="225448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12420"/>
        <c:crosses val="autoZero"/>
        <c:auto val="1"/>
        <c:lblAlgn val="ctr"/>
        <c:lblOffset val="100"/>
        <c:noMultiLvlLbl val="0"/>
      </c:catAx>
      <c:valAx>
        <c:axId val="69712420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loại lỗi (issue_id)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448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Tổng số loại lỗi theo mức độ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Dashboard!S24</c:f>
              <c:strCache>
                <c:ptCount val="1"/>
                <c:pt idx="0">
                  <c:v>số loại lỗi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Dashboard!$R$25:$R$28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Dashboard!$S$25:$S$28</c:f>
              <c:numCache>
                <c:formatCode>General</c:formatCode>
                <c:ptCount val="4"/>
                <c:pt idx="0">
                  <c:v>1</c:v>
                </c:pt>
                <c:pt idx="1">
                  <c:v>18</c:v>
                </c:pt>
                <c:pt idx="2">
                  <c:v>27</c:v>
                </c:pt>
                <c:pt idx="3">
                  <c:v>18</c:v>
                </c:pt>
              </c:numCache>
            </c:numRef>
          </c:val>
        </c:ser>
        <c:gapWidth val="150"/>
        <c:overlap val="0"/>
        <c:axId val="96259965"/>
        <c:axId val="75545672"/>
      </c:barChart>
      <c:catAx>
        <c:axId val="962599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45672"/>
        <c:crosses val="autoZero"/>
        <c:auto val="1"/>
        <c:lblAlgn val="ctr"/>
        <c:lblOffset val="100"/>
        <c:noMultiLvlLbl val="0"/>
      </c:catAx>
      <c:valAx>
        <c:axId val="7554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599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Số bản ghi lỗi — Ít lỗi (&lt; 100 bản ghi)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Dashboard!S32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Dashboard!$R$33:$R$38</c:f>
              <c:strCache>
                <c:ptCount val="6"/>
                <c:pt idx="0">
                  <c:v>ads_spend_daily</c:v>
                </c:pt>
                <c:pt idx="1">
                  <c:v>stock_counts</c:v>
                </c:pt>
                <c:pt idx="2">
                  <c:v>products</c:v>
                </c:pt>
                <c:pt idx="3">
                  <c:v>product_bundles</c:v>
                </c:pt>
                <c:pt idx="4">
                  <c:v>listings</c:v>
                </c:pt>
                <c:pt idx="5">
                  <c:v>product_attributes</c:v>
                </c:pt>
              </c:strCache>
            </c:strRef>
          </c:cat>
          <c:val>
            <c:numRef>
              <c:f>Dashboard!$S$33:$S$38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Dashboard!T32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Dashboard!$R$33:$R$38</c:f>
              <c:strCache>
                <c:ptCount val="6"/>
                <c:pt idx="0">
                  <c:v>ads_spend_daily</c:v>
                </c:pt>
                <c:pt idx="1">
                  <c:v>stock_counts</c:v>
                </c:pt>
                <c:pt idx="2">
                  <c:v>products</c:v>
                </c:pt>
                <c:pt idx="3">
                  <c:v>product_bundles</c:v>
                </c:pt>
                <c:pt idx="4">
                  <c:v>listings</c:v>
                </c:pt>
                <c:pt idx="5">
                  <c:v>product_attributes</c:v>
                </c:pt>
              </c:strCache>
            </c:strRef>
          </c:cat>
          <c:val>
            <c:numRef>
              <c:f>Dashboard!$T$33:$T$38</c:f>
              <c:numCache>
                <c:formatCode>#,##0</c:formatCode>
                <c:ptCount val="6"/>
                <c:pt idx="2">
                  <c:v>3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Dashboard!U32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fc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Dashboard!$R$33:$R$38</c:f>
              <c:strCache>
                <c:ptCount val="6"/>
                <c:pt idx="0">
                  <c:v>ads_spend_daily</c:v>
                </c:pt>
                <c:pt idx="1">
                  <c:v>stock_counts</c:v>
                </c:pt>
                <c:pt idx="2">
                  <c:v>products</c:v>
                </c:pt>
                <c:pt idx="3">
                  <c:v>product_bundles</c:v>
                </c:pt>
                <c:pt idx="4">
                  <c:v>listings</c:v>
                </c:pt>
                <c:pt idx="5">
                  <c:v>product_attributes</c:v>
                </c:pt>
              </c:strCache>
            </c:strRef>
          </c:cat>
          <c:val>
            <c:numRef>
              <c:f>Dashboard!$U$33:$U$38</c:f>
              <c:numCache>
                <c:formatCode>#,##0</c:formatCode>
                <c:ptCount val="6"/>
                <c:pt idx="0">
                  <c:v>11</c:v>
                </c:pt>
                <c:pt idx="2">
                  <c:v>11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3"/>
          <c:order val="3"/>
          <c:tx>
            <c:strRef>
              <c:f>Dashboard!V32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Dashboard!$R$33:$R$38</c:f>
              <c:strCache>
                <c:ptCount val="6"/>
                <c:pt idx="0">
                  <c:v>ads_spend_daily</c:v>
                </c:pt>
                <c:pt idx="1">
                  <c:v>stock_counts</c:v>
                </c:pt>
                <c:pt idx="2">
                  <c:v>products</c:v>
                </c:pt>
                <c:pt idx="3">
                  <c:v>product_bundles</c:v>
                </c:pt>
                <c:pt idx="4">
                  <c:v>listings</c:v>
                </c:pt>
                <c:pt idx="5">
                  <c:v>product_attributes</c:v>
                </c:pt>
              </c:strCache>
            </c:strRef>
          </c:cat>
          <c:val>
            <c:numRef>
              <c:f>Dashboard!$V$33:$V$38</c:f>
              <c:numCache>
                <c:formatCode>#,##0</c:formatCode>
                <c:ptCount val="6"/>
                <c:pt idx="0">
                  <c:v>22</c:v>
                </c:pt>
                <c:pt idx="1">
                  <c:v>33</c:v>
                </c:pt>
                <c:pt idx="2">
                  <c:v>7</c:v>
                </c:pt>
                <c:pt idx="5">
                  <c:v>1</c:v>
                </c:pt>
              </c:numCache>
            </c:numRef>
          </c:val>
        </c:ser>
        <c:gapWidth val="150"/>
        <c:overlap val="100"/>
        <c:axId val="52627811"/>
        <c:axId val="53755990"/>
      </c:barChart>
      <c:catAx>
        <c:axId val="526278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55990"/>
        <c:crosses val="autoZero"/>
        <c:auto val="1"/>
        <c:lblAlgn val="ctr"/>
        <c:lblOffset val="100"/>
        <c:noMultiLvlLbl val="0"/>
      </c:catAx>
      <c:valAx>
        <c:axId val="53755990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bản ghi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278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Số bản ghi lỗi — Trung bình (100–999)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Dashboard!S42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Dashboard!$R$43:$R$46</c:f>
              <c:strCache>
                <c:ptCount val="4"/>
                <c:pt idx="0">
                  <c:v>listing_traffic_daily</c:v>
                </c:pt>
                <c:pt idx="1">
                  <c:v>inventory_snapshots_daily</c:v>
                </c:pt>
                <c:pt idx="2">
                  <c:v>market_prices</c:v>
                </c:pt>
                <c:pt idx="3">
                  <c:v>purchase_orders</c:v>
                </c:pt>
              </c:strCache>
            </c:strRef>
          </c:cat>
          <c:val>
            <c:numRef>
              <c:f>Dashboard!$S$43:$S$46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Dashboard!T42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Dashboard!$R$43:$R$46</c:f>
              <c:strCache>
                <c:ptCount val="4"/>
                <c:pt idx="0">
                  <c:v>listing_traffic_daily</c:v>
                </c:pt>
                <c:pt idx="1">
                  <c:v>inventory_snapshots_daily</c:v>
                </c:pt>
                <c:pt idx="2">
                  <c:v>market_prices</c:v>
                </c:pt>
                <c:pt idx="3">
                  <c:v>purchase_orders</c:v>
                </c:pt>
              </c:strCache>
            </c:strRef>
          </c:cat>
          <c:val>
            <c:numRef>
              <c:f>Dashboard!$T$43:$T$46</c:f>
              <c:numCache>
                <c:formatCode>#,##0</c:formatCode>
                <c:ptCount val="4"/>
                <c:pt idx="1">
                  <c:v>664</c:v>
                </c:pt>
              </c:numCache>
            </c:numRef>
          </c:val>
        </c:ser>
        <c:ser>
          <c:idx val="2"/>
          <c:order val="2"/>
          <c:tx>
            <c:strRef>
              <c:f>Dashboard!U42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fc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Dashboard!$R$43:$R$46</c:f>
              <c:strCache>
                <c:ptCount val="4"/>
                <c:pt idx="0">
                  <c:v>listing_traffic_daily</c:v>
                </c:pt>
                <c:pt idx="1">
                  <c:v>inventory_snapshots_daily</c:v>
                </c:pt>
                <c:pt idx="2">
                  <c:v>market_prices</c:v>
                </c:pt>
                <c:pt idx="3">
                  <c:v>purchase_orders</c:v>
                </c:pt>
              </c:strCache>
            </c:strRef>
          </c:cat>
          <c:val>
            <c:numRef>
              <c:f>Dashboard!$U$43:$U$46</c:f>
              <c:numCache>
                <c:formatCode>#,##0</c:formatCode>
                <c:ptCount val="4"/>
                <c:pt idx="1">
                  <c:v>224</c:v>
                </c:pt>
                <c:pt idx="2">
                  <c:v>74</c:v>
                </c:pt>
                <c:pt idx="3">
                  <c:v>100</c:v>
                </c:pt>
              </c:numCache>
            </c:numRef>
          </c:val>
        </c:ser>
        <c:ser>
          <c:idx val="3"/>
          <c:order val="3"/>
          <c:tx>
            <c:strRef>
              <c:f>Dashboard!V42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Dashboard!$R$43:$R$46</c:f>
              <c:strCache>
                <c:ptCount val="4"/>
                <c:pt idx="0">
                  <c:v>listing_traffic_daily</c:v>
                </c:pt>
                <c:pt idx="1">
                  <c:v>inventory_snapshots_daily</c:v>
                </c:pt>
                <c:pt idx="2">
                  <c:v>market_prices</c:v>
                </c:pt>
                <c:pt idx="3">
                  <c:v>purchase_orders</c:v>
                </c:pt>
              </c:strCache>
            </c:strRef>
          </c:cat>
          <c:val>
            <c:numRef>
              <c:f>Dashboard!$V$43:$V$46</c:f>
              <c:numCache>
                <c:formatCode>#,##0</c:formatCode>
                <c:ptCount val="4"/>
                <c:pt idx="0">
                  <c:v>932</c:v>
                </c:pt>
                <c:pt idx="2">
                  <c:v>340</c:v>
                </c:pt>
              </c:numCache>
            </c:numRef>
          </c:val>
        </c:ser>
        <c:gapWidth val="150"/>
        <c:overlap val="100"/>
        <c:axId val="44329243"/>
        <c:axId val="63901403"/>
      </c:barChart>
      <c:catAx>
        <c:axId val="4432924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01403"/>
        <c:crosses val="autoZero"/>
        <c:auto val="1"/>
        <c:lblAlgn val="ctr"/>
        <c:lblOffset val="100"/>
        <c:noMultiLvlLbl val="0"/>
      </c:catAx>
      <c:valAx>
        <c:axId val="63901403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bản ghi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292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Số bản ghi lỗi — Nhiều lỗi (≥ 1.000)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Dashboard!S50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Dashboard!$R$51:$R$57</c:f>
              <c:strCache>
                <c:ptCount val="7"/>
                <c:pt idx="0">
                  <c:v>orders</c:v>
                </c:pt>
                <c:pt idx="1">
                  <c:v>order_status_history</c:v>
                </c:pt>
                <c:pt idx="2">
                  <c:v>order_items</c:v>
                </c:pt>
                <c:pt idx="3">
                  <c:v>customers</c:v>
                </c:pt>
                <c:pt idx="4">
                  <c:v>order_reviews</c:v>
                </c:pt>
                <c:pt idx="5">
                  <c:v>order_payments</c:v>
                </c:pt>
                <c:pt idx="6">
                  <c:v>inventory_movements</c:v>
                </c:pt>
              </c:strCache>
            </c:strRef>
          </c:cat>
          <c:val>
            <c:numRef>
              <c:f>Dashboard!$S$51:$S$57</c:f>
              <c:numCache>
                <c:formatCode>#,##0</c:formatCode>
                <c:ptCount val="7"/>
                <c:pt idx="4">
                  <c:v>305</c:v>
                </c:pt>
              </c:numCache>
            </c:numRef>
          </c:val>
        </c:ser>
        <c:ser>
          <c:idx val="1"/>
          <c:order val="1"/>
          <c:tx>
            <c:strRef>
              <c:f>Dashboard!T50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Dashboard!$R$51:$R$57</c:f>
              <c:strCache>
                <c:ptCount val="7"/>
                <c:pt idx="0">
                  <c:v>orders</c:v>
                </c:pt>
                <c:pt idx="1">
                  <c:v>order_status_history</c:v>
                </c:pt>
                <c:pt idx="2">
                  <c:v>order_items</c:v>
                </c:pt>
                <c:pt idx="3">
                  <c:v>customers</c:v>
                </c:pt>
                <c:pt idx="4">
                  <c:v>order_reviews</c:v>
                </c:pt>
                <c:pt idx="5">
                  <c:v>order_payments</c:v>
                </c:pt>
                <c:pt idx="6">
                  <c:v>inventory_movements</c:v>
                </c:pt>
              </c:strCache>
            </c:strRef>
          </c:cat>
          <c:val>
            <c:numRef>
              <c:f>Dashboard!$T$51:$T$57</c:f>
              <c:numCache>
                <c:formatCode>#,##0</c:formatCode>
                <c:ptCount val="7"/>
                <c:pt idx="0">
                  <c:v>6311</c:v>
                </c:pt>
                <c:pt idx="2">
                  <c:v>1428</c:v>
                </c:pt>
                <c:pt idx="4">
                  <c:v>202</c:v>
                </c:pt>
                <c:pt idx="5">
                  <c:v>1017</c:v>
                </c:pt>
                <c:pt idx="6">
                  <c:v>668</c:v>
                </c:pt>
              </c:numCache>
            </c:numRef>
          </c:val>
        </c:ser>
        <c:ser>
          <c:idx val="2"/>
          <c:order val="2"/>
          <c:tx>
            <c:strRef>
              <c:f>Dashboard!U50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fc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Dashboard!$R$51:$R$57</c:f>
              <c:strCache>
                <c:ptCount val="7"/>
                <c:pt idx="0">
                  <c:v>orders</c:v>
                </c:pt>
                <c:pt idx="1">
                  <c:v>order_status_history</c:v>
                </c:pt>
                <c:pt idx="2">
                  <c:v>order_items</c:v>
                </c:pt>
                <c:pt idx="3">
                  <c:v>customers</c:v>
                </c:pt>
                <c:pt idx="4">
                  <c:v>order_reviews</c:v>
                </c:pt>
                <c:pt idx="5">
                  <c:v>order_payments</c:v>
                </c:pt>
                <c:pt idx="6">
                  <c:v>inventory_movements</c:v>
                </c:pt>
              </c:strCache>
            </c:strRef>
          </c:cat>
          <c:val>
            <c:numRef>
              <c:f>Dashboard!$U$51:$U$57</c:f>
              <c:numCache>
                <c:formatCode>#,##0</c:formatCode>
                <c:ptCount val="7"/>
                <c:pt idx="0">
                  <c:v>3540</c:v>
                </c:pt>
                <c:pt idx="1">
                  <c:v>1766</c:v>
                </c:pt>
                <c:pt idx="2">
                  <c:v>4285</c:v>
                </c:pt>
                <c:pt idx="3">
                  <c:v>943</c:v>
                </c:pt>
                <c:pt idx="4">
                  <c:v>1317</c:v>
                </c:pt>
                <c:pt idx="5">
                  <c:v>339</c:v>
                </c:pt>
                <c:pt idx="6">
                  <c:v>791</c:v>
                </c:pt>
              </c:numCache>
            </c:numRef>
          </c:val>
        </c:ser>
        <c:ser>
          <c:idx val="3"/>
          <c:order val="3"/>
          <c:tx>
            <c:strRef>
              <c:f>Dashboard!V50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Dashboard!$R$51:$R$57</c:f>
              <c:strCache>
                <c:ptCount val="7"/>
                <c:pt idx="0">
                  <c:v>orders</c:v>
                </c:pt>
                <c:pt idx="1">
                  <c:v>order_status_history</c:v>
                </c:pt>
                <c:pt idx="2">
                  <c:v>order_items</c:v>
                </c:pt>
                <c:pt idx="3">
                  <c:v>customers</c:v>
                </c:pt>
                <c:pt idx="4">
                  <c:v>order_reviews</c:v>
                </c:pt>
                <c:pt idx="5">
                  <c:v>order_payments</c:v>
                </c:pt>
                <c:pt idx="6">
                  <c:v>inventory_movements</c:v>
                </c:pt>
              </c:strCache>
            </c:strRef>
          </c:cat>
          <c:val>
            <c:numRef>
              <c:f>Dashboard!$V$51:$V$57</c:f>
              <c:numCache>
                <c:formatCode>#,##0</c:formatCode>
                <c:ptCount val="7"/>
                <c:pt idx="0">
                  <c:v>1572</c:v>
                </c:pt>
                <c:pt idx="1">
                  <c:v>9079</c:v>
                </c:pt>
                <c:pt idx="2">
                  <c:v>2381</c:v>
                </c:pt>
                <c:pt idx="3">
                  <c:v>2201</c:v>
                </c:pt>
                <c:pt idx="5">
                  <c:v>339</c:v>
                </c:pt>
              </c:numCache>
            </c:numRef>
          </c:val>
        </c:ser>
        <c:gapWidth val="150"/>
        <c:overlap val="100"/>
        <c:axId val="18616265"/>
        <c:axId val="34440777"/>
      </c:barChart>
      <c:catAx>
        <c:axId val="1861626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40777"/>
        <c:crosses val="autoZero"/>
        <c:auto val="1"/>
        <c:lblAlgn val="ctr"/>
        <c:lblOffset val="100"/>
        <c:noMultiLvlLbl val="0"/>
      </c:catAx>
      <c:valAx>
        <c:axId val="34440777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bản ghi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162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41040</xdr:rowOff>
    </xdr:from>
    <xdr:to>
      <xdr:col>9</xdr:col>
      <xdr:colOff>221760</xdr:colOff>
      <xdr:row>27</xdr:row>
      <xdr:rowOff>190800</xdr:rowOff>
    </xdr:to>
    <xdr:graphicFrame>
      <xdr:nvGraphicFramePr>
        <xdr:cNvPr id="0" name="Chart 1"/>
        <xdr:cNvGraphicFramePr/>
      </xdr:nvGraphicFramePr>
      <xdr:xfrm>
        <a:off x="0" y="15238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41040</xdr:rowOff>
    </xdr:from>
    <xdr:to>
      <xdr:col>14</xdr:col>
      <xdr:colOff>442800</xdr:colOff>
      <xdr:row>24</xdr:row>
      <xdr:rowOff>42120</xdr:rowOff>
    </xdr:to>
    <xdr:graphicFrame>
      <xdr:nvGraphicFramePr>
        <xdr:cNvPr id="1" name="Chart 2"/>
        <xdr:cNvGraphicFramePr/>
      </xdr:nvGraphicFramePr>
      <xdr:xfrm>
        <a:off x="6977880" y="15238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41040</xdr:rowOff>
    </xdr:from>
    <xdr:to>
      <xdr:col>7</xdr:col>
      <xdr:colOff>332280</xdr:colOff>
      <xdr:row>50</xdr:row>
      <xdr:rowOff>21240</xdr:rowOff>
    </xdr:to>
    <xdr:graphicFrame>
      <xdr:nvGraphicFramePr>
        <xdr:cNvPr id="2" name="Chart 3"/>
        <xdr:cNvGraphicFramePr/>
      </xdr:nvGraphicFramePr>
      <xdr:xfrm>
        <a:off x="0" y="60958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31</xdr:row>
      <xdr:rowOff>41040</xdr:rowOff>
    </xdr:from>
    <xdr:to>
      <xdr:col>17</xdr:col>
      <xdr:colOff>48240</xdr:colOff>
      <xdr:row>50</xdr:row>
      <xdr:rowOff>21240</xdr:rowOff>
    </xdr:to>
    <xdr:graphicFrame>
      <xdr:nvGraphicFramePr>
        <xdr:cNvPr id="3" name="Chart 4"/>
        <xdr:cNvGraphicFramePr/>
      </xdr:nvGraphicFramePr>
      <xdr:xfrm>
        <a:off x="6977880" y="60958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53</xdr:row>
      <xdr:rowOff>41400</xdr:rowOff>
    </xdr:from>
    <xdr:to>
      <xdr:col>12</xdr:col>
      <xdr:colOff>55440</xdr:colOff>
      <xdr:row>72</xdr:row>
      <xdr:rowOff>21240</xdr:rowOff>
    </xdr:to>
    <xdr:graphicFrame>
      <xdr:nvGraphicFramePr>
        <xdr:cNvPr id="4" name="Chart 5"/>
        <xdr:cNvGraphicFramePr/>
      </xdr:nvGraphicFramePr>
      <xdr:xfrm>
        <a:off x="0" y="1028700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7" min="5" style="0" width="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23.85" hidden="false" customHeight="fals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customFormat="false" ht="15" hidden="false" customHeight="false" outlineLevel="0" collapsed="false">
      <c r="A9" s="4" t="s">
        <v>12</v>
      </c>
      <c r="B9" s="4" t="n">
        <v>2</v>
      </c>
      <c r="C9" s="4" t="n">
        <v>33</v>
      </c>
      <c r="D9" s="4" t="n">
        <v>0</v>
      </c>
      <c r="E9" s="4" t="n">
        <v>0</v>
      </c>
      <c r="F9" s="4" t="n">
        <v>1</v>
      </c>
      <c r="G9" s="4" t="n">
        <v>1</v>
      </c>
    </row>
    <row r="10" customFormat="false" ht="15" hidden="false" customHeight="false" outlineLevel="0" collapsed="false">
      <c r="A10" s="4" t="s">
        <v>13</v>
      </c>
      <c r="B10" s="4" t="n">
        <v>3</v>
      </c>
      <c r="C10" s="4" t="n">
        <v>3144</v>
      </c>
      <c r="D10" s="4" t="n">
        <v>0</v>
      </c>
      <c r="E10" s="4" t="n">
        <v>0</v>
      </c>
      <c r="F10" s="4" t="n">
        <v>2</v>
      </c>
      <c r="G10" s="4" t="n">
        <v>1</v>
      </c>
    </row>
    <row r="11" customFormat="false" ht="15" hidden="false" customHeight="false" outlineLevel="0" collapsed="false">
      <c r="A11" s="4" t="s">
        <v>14</v>
      </c>
      <c r="B11" s="4" t="n">
        <v>5</v>
      </c>
      <c r="C11" s="4" t="n">
        <v>1459</v>
      </c>
      <c r="D11" s="4" t="n">
        <v>0</v>
      </c>
      <c r="E11" s="4" t="n">
        <v>3</v>
      </c>
      <c r="F11" s="4" t="n">
        <v>0</v>
      </c>
      <c r="G11" s="4" t="n">
        <v>2</v>
      </c>
    </row>
    <row r="12" customFormat="false" ht="15" hidden="false" customHeight="false" outlineLevel="0" collapsed="false">
      <c r="A12" s="4" t="s">
        <v>15</v>
      </c>
      <c r="B12" s="4" t="n">
        <v>4</v>
      </c>
      <c r="C12" s="4" t="n">
        <v>888</v>
      </c>
      <c r="D12" s="4" t="n">
        <v>0</v>
      </c>
      <c r="E12" s="4" t="n">
        <v>2</v>
      </c>
      <c r="F12" s="4" t="n">
        <v>0</v>
      </c>
      <c r="G12" s="4" t="n">
        <v>2</v>
      </c>
    </row>
    <row r="13" customFormat="false" ht="15" hidden="false" customHeight="false" outlineLevel="0" collapsed="false">
      <c r="A13" s="4" t="s">
        <v>16</v>
      </c>
      <c r="B13" s="4" t="n">
        <v>3</v>
      </c>
      <c r="C13" s="4" t="n">
        <v>932</v>
      </c>
      <c r="D13" s="4" t="n">
        <v>0</v>
      </c>
      <c r="E13" s="4" t="n">
        <v>0</v>
      </c>
      <c r="F13" s="4" t="n">
        <v>3</v>
      </c>
      <c r="G13" s="4" t="n">
        <v>0</v>
      </c>
    </row>
    <row r="14" customFormat="false" ht="15" hidden="false" customHeight="false" outlineLevel="0" collapsed="false">
      <c r="A14" s="4" t="s">
        <v>17</v>
      </c>
      <c r="B14" s="4" t="n">
        <v>1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1</v>
      </c>
    </row>
    <row r="15" customFormat="false" ht="15" hidden="false" customHeight="false" outlineLevel="0" collapsed="false">
      <c r="A15" s="4" t="s">
        <v>18</v>
      </c>
      <c r="B15" s="4" t="n">
        <v>5</v>
      </c>
      <c r="C15" s="4" t="n">
        <v>414</v>
      </c>
      <c r="D15" s="4" t="n">
        <v>0</v>
      </c>
      <c r="E15" s="4" t="n">
        <v>0</v>
      </c>
      <c r="F15" s="4" t="n">
        <v>4</v>
      </c>
      <c r="G15" s="4" t="n">
        <v>1</v>
      </c>
    </row>
    <row r="16" customFormat="false" ht="15" hidden="false" customHeight="false" outlineLevel="0" collapsed="false">
      <c r="A16" s="4" t="s">
        <v>19</v>
      </c>
      <c r="B16" s="4" t="n">
        <v>7</v>
      </c>
      <c r="C16" s="4" t="n">
        <v>8094</v>
      </c>
      <c r="D16" s="4" t="n">
        <v>0</v>
      </c>
      <c r="E16" s="4" t="n">
        <v>3</v>
      </c>
      <c r="F16" s="4" t="n">
        <v>1</v>
      </c>
      <c r="G16" s="4" t="n">
        <v>3</v>
      </c>
    </row>
    <row r="17" customFormat="false" ht="15" hidden="false" customHeight="false" outlineLevel="0" collapsed="false">
      <c r="A17" s="4" t="s">
        <v>20</v>
      </c>
      <c r="B17" s="4" t="n">
        <v>3</v>
      </c>
      <c r="C17" s="4" t="n">
        <v>1695</v>
      </c>
      <c r="D17" s="4" t="n">
        <v>0</v>
      </c>
      <c r="E17" s="4" t="n">
        <v>1</v>
      </c>
      <c r="F17" s="4" t="n">
        <v>1</v>
      </c>
      <c r="G17" s="4" t="n">
        <v>1</v>
      </c>
    </row>
    <row r="18" customFormat="false" ht="15" hidden="false" customHeight="false" outlineLevel="0" collapsed="false">
      <c r="A18" s="4" t="s">
        <v>21</v>
      </c>
      <c r="B18" s="4" t="n">
        <v>5</v>
      </c>
      <c r="C18" s="4" t="n">
        <v>1824</v>
      </c>
      <c r="D18" s="4" t="n">
        <v>1</v>
      </c>
      <c r="E18" s="4" t="n">
        <v>1</v>
      </c>
      <c r="F18" s="4" t="n">
        <v>0</v>
      </c>
      <c r="G18" s="4" t="n">
        <v>3</v>
      </c>
    </row>
    <row r="19" customFormat="false" ht="15" hidden="false" customHeight="false" outlineLevel="0" collapsed="false">
      <c r="A19" s="4" t="s">
        <v>22</v>
      </c>
      <c r="B19" s="4" t="n">
        <v>3</v>
      </c>
      <c r="C19" s="4" t="n">
        <v>10845</v>
      </c>
      <c r="D19" s="4" t="n">
        <v>0</v>
      </c>
      <c r="E19" s="4" t="n">
        <v>0</v>
      </c>
      <c r="F19" s="4" t="n">
        <v>1</v>
      </c>
      <c r="G19" s="4" t="n">
        <v>2</v>
      </c>
    </row>
    <row r="20" customFormat="false" ht="15" hidden="false" customHeight="false" outlineLevel="0" collapsed="false">
      <c r="A20" s="4" t="s">
        <v>23</v>
      </c>
      <c r="B20" s="4" t="n">
        <v>10</v>
      </c>
      <c r="C20" s="4" t="n">
        <v>11423</v>
      </c>
      <c r="D20" s="4" t="n">
        <v>0</v>
      </c>
      <c r="E20" s="4" t="n">
        <v>5</v>
      </c>
      <c r="F20" s="4" t="n">
        <v>1</v>
      </c>
      <c r="G20" s="4" t="n">
        <v>4</v>
      </c>
    </row>
    <row r="21" customFormat="false" ht="15" hidden="false" customHeight="false" outlineLevel="0" collapsed="false">
      <c r="A21" s="4" t="s">
        <v>24</v>
      </c>
      <c r="B21" s="4" t="n">
        <v>1</v>
      </c>
      <c r="C21" s="4" t="n">
        <v>1</v>
      </c>
      <c r="D21" s="4" t="n">
        <v>0</v>
      </c>
      <c r="E21" s="4" t="n">
        <v>0</v>
      </c>
      <c r="F21" s="4" t="n">
        <v>1</v>
      </c>
      <c r="G21" s="4" t="n">
        <v>0</v>
      </c>
    </row>
    <row r="22" customFormat="false" ht="15" hidden="false" customHeight="false" outlineLevel="0" collapsed="false">
      <c r="A22" s="4" t="s">
        <v>25</v>
      </c>
      <c r="B22" s="4" t="n">
        <v>2</v>
      </c>
      <c r="C22" s="4" t="n">
        <v>2</v>
      </c>
      <c r="D22" s="4" t="n">
        <v>0</v>
      </c>
      <c r="E22" s="4" t="n">
        <v>1</v>
      </c>
      <c r="F22" s="4" t="n">
        <v>0</v>
      </c>
      <c r="G22" s="4" t="n">
        <v>1</v>
      </c>
    </row>
    <row r="23" customFormat="false" ht="15" hidden="false" customHeight="false" outlineLevel="0" collapsed="false">
      <c r="A23" s="4" t="s">
        <v>26</v>
      </c>
      <c r="B23" s="4" t="n">
        <v>6</v>
      </c>
      <c r="C23" s="4" t="n">
        <v>21</v>
      </c>
      <c r="D23" s="4" t="n">
        <v>0</v>
      </c>
      <c r="E23" s="4" t="n">
        <v>2</v>
      </c>
      <c r="F23" s="4" t="n">
        <v>2</v>
      </c>
      <c r="G23" s="4" t="n">
        <v>2</v>
      </c>
    </row>
    <row r="24" customFormat="false" ht="15" hidden="false" customHeight="false" outlineLevel="0" collapsed="false">
      <c r="A24" s="4" t="s">
        <v>27</v>
      </c>
      <c r="B24" s="4" t="n">
        <v>3</v>
      </c>
      <c r="C24" s="4" t="n">
        <v>100</v>
      </c>
      <c r="D24" s="4" t="n">
        <v>0</v>
      </c>
      <c r="E24" s="4" t="n">
        <v>0</v>
      </c>
      <c r="F24" s="4" t="n">
        <v>0</v>
      </c>
      <c r="G24" s="4" t="n">
        <v>3</v>
      </c>
    </row>
    <row r="25" customFormat="false" ht="15" hidden="false" customHeight="false" outlineLevel="0" collapsed="false">
      <c r="A25" s="4" t="s">
        <v>28</v>
      </c>
      <c r="B25" s="4" t="n">
        <v>1</v>
      </c>
      <c r="C25" s="4" t="n">
        <v>33</v>
      </c>
      <c r="D25" s="4" t="n">
        <v>0</v>
      </c>
      <c r="E25" s="4" t="n">
        <v>0</v>
      </c>
      <c r="F25" s="4" t="n">
        <v>1</v>
      </c>
      <c r="G25" s="4" t="n">
        <v>0</v>
      </c>
    </row>
  </sheetData>
  <autoFilter ref="A8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  <col collapsed="false" customWidth="true" hidden="false" outlineLevel="0" max="18" min="18" style="0" width="26"/>
    <col collapsed="false" customWidth="true" hidden="false" outlineLevel="0" max="23" min="19" style="0" width="10"/>
  </cols>
  <sheetData>
    <row r="1" customFormat="false" ht="19.7" hidden="false" customHeight="false" outlineLevel="0" collapsed="false">
      <c r="A1" s="5" t="s">
        <v>29</v>
      </c>
    </row>
    <row r="2" customFormat="false" ht="15" hidden="false" customHeight="false" outlineLevel="0" collapsed="false">
      <c r="A2" s="6" t="s">
        <v>30</v>
      </c>
    </row>
    <row r="3" customFormat="false" ht="15" hidden="false" customHeight="false" outlineLevel="0" collapsed="false">
      <c r="R3" s="7" t="s">
        <v>31</v>
      </c>
    </row>
    <row r="4" customFormat="false" ht="15" hidden="false" customHeight="false" outlineLevel="0" collapsed="false">
      <c r="A4" s="8" t="s">
        <v>32</v>
      </c>
      <c r="R4" s="9" t="s">
        <v>5</v>
      </c>
      <c r="S4" s="9" t="s">
        <v>8</v>
      </c>
      <c r="T4" s="9" t="s">
        <v>9</v>
      </c>
      <c r="U4" s="9" t="s">
        <v>11</v>
      </c>
      <c r="V4" s="9" t="s">
        <v>10</v>
      </c>
      <c r="W4" s="9" t="s">
        <v>33</v>
      </c>
    </row>
    <row r="5" customFormat="false" ht="15" hidden="false" customHeight="false" outlineLevel="0" collapsed="false">
      <c r="A5" s="10" t="s">
        <v>34</v>
      </c>
      <c r="B5" s="10"/>
      <c r="C5" s="11" t="s">
        <v>8</v>
      </c>
      <c r="D5" s="11"/>
      <c r="E5" s="12" t="s">
        <v>9</v>
      </c>
      <c r="F5" s="12"/>
      <c r="G5" s="13" t="s">
        <v>11</v>
      </c>
      <c r="H5" s="13"/>
      <c r="I5" s="14" t="s">
        <v>10</v>
      </c>
      <c r="J5" s="14"/>
      <c r="K5" s="10" t="s">
        <v>35</v>
      </c>
      <c r="L5" s="10"/>
      <c r="R5" s="15" t="s">
        <v>23</v>
      </c>
      <c r="S5" s="16"/>
      <c r="T5" s="16" t="n">
        <v>5</v>
      </c>
      <c r="U5" s="16" t="n">
        <v>4</v>
      </c>
      <c r="V5" s="16" t="n">
        <v>1</v>
      </c>
      <c r="W5" s="17" t="n">
        <f aca="false">SUM(S5:V5)</f>
        <v>10</v>
      </c>
    </row>
    <row r="6" customFormat="false" ht="22.05" hidden="false" customHeight="false" outlineLevel="0" collapsed="false">
      <c r="A6" s="18" t="n">
        <v>64</v>
      </c>
      <c r="B6" s="18"/>
      <c r="C6" s="19" t="n">
        <v>1</v>
      </c>
      <c r="D6" s="19"/>
      <c r="E6" s="20" t="n">
        <v>18</v>
      </c>
      <c r="F6" s="20"/>
      <c r="G6" s="21" t="n">
        <v>27</v>
      </c>
      <c r="H6" s="21"/>
      <c r="I6" s="22" t="n">
        <v>18</v>
      </c>
      <c r="J6" s="22"/>
      <c r="K6" s="18" t="n">
        <v>40909</v>
      </c>
      <c r="L6" s="18"/>
      <c r="R6" s="15" t="s">
        <v>19</v>
      </c>
      <c r="S6" s="16"/>
      <c r="T6" s="16" t="n">
        <v>3</v>
      </c>
      <c r="U6" s="16" t="n">
        <v>3</v>
      </c>
      <c r="V6" s="16" t="n">
        <v>1</v>
      </c>
      <c r="W6" s="17" t="n">
        <f aca="false">SUM(S6:V6)</f>
        <v>7</v>
      </c>
    </row>
    <row r="7" customFormat="false" ht="15" hidden="false" customHeight="false" outlineLevel="0" collapsed="false">
      <c r="R7" s="15" t="s">
        <v>26</v>
      </c>
      <c r="S7" s="16"/>
      <c r="T7" s="16" t="n">
        <v>2</v>
      </c>
      <c r="U7" s="16" t="n">
        <v>2</v>
      </c>
      <c r="V7" s="16" t="n">
        <v>2</v>
      </c>
      <c r="W7" s="17" t="n">
        <f aca="false">SUM(S7:V7)</f>
        <v>6</v>
      </c>
    </row>
    <row r="8" customFormat="false" ht="15" hidden="false" customHeight="false" outlineLevel="0" collapsed="false">
      <c r="R8" s="15" t="s">
        <v>18</v>
      </c>
      <c r="S8" s="16"/>
      <c r="T8" s="16"/>
      <c r="U8" s="16" t="n">
        <v>1</v>
      </c>
      <c r="V8" s="16" t="n">
        <v>4</v>
      </c>
      <c r="W8" s="17" t="n">
        <f aca="false">SUM(S8:V8)</f>
        <v>5</v>
      </c>
    </row>
    <row r="9" customFormat="false" ht="15" hidden="false" customHeight="false" outlineLevel="0" collapsed="false">
      <c r="R9" s="15" t="s">
        <v>14</v>
      </c>
      <c r="S9" s="16"/>
      <c r="T9" s="16" t="n">
        <v>3</v>
      </c>
      <c r="U9" s="16" t="n">
        <v>2</v>
      </c>
      <c r="V9" s="16"/>
      <c r="W9" s="17" t="n">
        <f aca="false">SUM(S9:V9)</f>
        <v>5</v>
      </c>
    </row>
    <row r="10" customFormat="false" ht="15" hidden="false" customHeight="false" outlineLevel="0" collapsed="false">
      <c r="R10" s="15" t="s">
        <v>21</v>
      </c>
      <c r="S10" s="16" t="n">
        <v>1</v>
      </c>
      <c r="T10" s="16" t="n">
        <v>1</v>
      </c>
      <c r="U10" s="16" t="n">
        <v>3</v>
      </c>
      <c r="V10" s="16"/>
      <c r="W10" s="17" t="n">
        <f aca="false">SUM(S10:V10)</f>
        <v>5</v>
      </c>
    </row>
    <row r="11" customFormat="false" ht="15" hidden="false" customHeight="false" outlineLevel="0" collapsed="false">
      <c r="R11" s="15" t="s">
        <v>15</v>
      </c>
      <c r="S11" s="16"/>
      <c r="T11" s="16" t="n">
        <v>2</v>
      </c>
      <c r="U11" s="16" t="n">
        <v>2</v>
      </c>
      <c r="V11" s="16"/>
      <c r="W11" s="17" t="n">
        <f aca="false">SUM(S11:V11)</f>
        <v>4</v>
      </c>
    </row>
    <row r="12" customFormat="false" ht="15" hidden="false" customHeight="false" outlineLevel="0" collapsed="false">
      <c r="R12" s="15" t="s">
        <v>27</v>
      </c>
      <c r="S12" s="16"/>
      <c r="T12" s="16"/>
      <c r="U12" s="16" t="n">
        <v>3</v>
      </c>
      <c r="V12" s="16"/>
      <c r="W12" s="17" t="n">
        <f aca="false">SUM(S12:V12)</f>
        <v>3</v>
      </c>
    </row>
    <row r="13" customFormat="false" ht="15" hidden="false" customHeight="false" outlineLevel="0" collapsed="false">
      <c r="R13" s="15" t="s">
        <v>16</v>
      </c>
      <c r="S13" s="16"/>
      <c r="T13" s="16"/>
      <c r="U13" s="16"/>
      <c r="V13" s="16" t="n">
        <v>3</v>
      </c>
      <c r="W13" s="17" t="n">
        <f aca="false">SUM(S13:V13)</f>
        <v>3</v>
      </c>
    </row>
    <row r="14" customFormat="false" ht="15" hidden="false" customHeight="false" outlineLevel="0" collapsed="false">
      <c r="R14" s="15" t="s">
        <v>13</v>
      </c>
      <c r="S14" s="16"/>
      <c r="T14" s="16"/>
      <c r="U14" s="16" t="n">
        <v>1</v>
      </c>
      <c r="V14" s="16" t="n">
        <v>2</v>
      </c>
      <c r="W14" s="17" t="n">
        <f aca="false">SUM(S14:V14)</f>
        <v>3</v>
      </c>
    </row>
    <row r="15" customFormat="false" ht="15" hidden="false" customHeight="false" outlineLevel="0" collapsed="false">
      <c r="R15" s="15" t="s">
        <v>20</v>
      </c>
      <c r="S15" s="16"/>
      <c r="T15" s="16" t="n">
        <v>1</v>
      </c>
      <c r="U15" s="16" t="n">
        <v>1</v>
      </c>
      <c r="V15" s="16" t="n">
        <v>1</v>
      </c>
      <c r="W15" s="17" t="n">
        <f aca="false">SUM(S15:V15)</f>
        <v>3</v>
      </c>
    </row>
    <row r="16" customFormat="false" ht="15" hidden="false" customHeight="false" outlineLevel="0" collapsed="false">
      <c r="R16" s="15" t="s">
        <v>22</v>
      </c>
      <c r="S16" s="16"/>
      <c r="T16" s="16"/>
      <c r="U16" s="16" t="n">
        <v>2</v>
      </c>
      <c r="V16" s="16" t="n">
        <v>1</v>
      </c>
      <c r="W16" s="17" t="n">
        <f aca="false">SUM(S16:V16)</f>
        <v>3</v>
      </c>
    </row>
    <row r="17" customFormat="false" ht="15" hidden="false" customHeight="false" outlineLevel="0" collapsed="false">
      <c r="R17" s="15" t="s">
        <v>12</v>
      </c>
      <c r="S17" s="16"/>
      <c r="T17" s="16"/>
      <c r="U17" s="16" t="n">
        <v>1</v>
      </c>
      <c r="V17" s="16" t="n">
        <v>1</v>
      </c>
      <c r="W17" s="17" t="n">
        <f aca="false">SUM(S17:V17)</f>
        <v>2</v>
      </c>
    </row>
    <row r="18" customFormat="false" ht="15" hidden="false" customHeight="false" outlineLevel="0" collapsed="false">
      <c r="R18" s="15" t="s">
        <v>25</v>
      </c>
      <c r="S18" s="16"/>
      <c r="T18" s="16" t="n">
        <v>1</v>
      </c>
      <c r="U18" s="16" t="n">
        <v>1</v>
      </c>
      <c r="V18" s="16"/>
      <c r="W18" s="17" t="n">
        <f aca="false">SUM(S18:V18)</f>
        <v>2</v>
      </c>
    </row>
    <row r="19" customFormat="false" ht="15" hidden="false" customHeight="false" outlineLevel="0" collapsed="false">
      <c r="R19" s="15" t="s">
        <v>17</v>
      </c>
      <c r="S19" s="16"/>
      <c r="T19" s="16"/>
      <c r="U19" s="16" t="n">
        <v>1</v>
      </c>
      <c r="V19" s="16"/>
      <c r="W19" s="17" t="n">
        <f aca="false">SUM(S19:V19)</f>
        <v>1</v>
      </c>
    </row>
    <row r="20" customFormat="false" ht="15" hidden="false" customHeight="false" outlineLevel="0" collapsed="false">
      <c r="R20" s="15" t="s">
        <v>24</v>
      </c>
      <c r="S20" s="16"/>
      <c r="T20" s="16"/>
      <c r="U20" s="16"/>
      <c r="V20" s="16" t="n">
        <v>1</v>
      </c>
      <c r="W20" s="17" t="n">
        <f aca="false">SUM(S20:V20)</f>
        <v>1</v>
      </c>
    </row>
    <row r="21" customFormat="false" ht="15" hidden="false" customHeight="false" outlineLevel="0" collapsed="false">
      <c r="R21" s="15" t="s">
        <v>28</v>
      </c>
      <c r="S21" s="16"/>
      <c r="T21" s="16"/>
      <c r="U21" s="16"/>
      <c r="V21" s="16" t="n">
        <v>1</v>
      </c>
      <c r="W21" s="17" t="n">
        <f aca="false">SUM(S21:V21)</f>
        <v>1</v>
      </c>
    </row>
    <row r="24" customFormat="false" ht="15" hidden="false" customHeight="false" outlineLevel="0" collapsed="false">
      <c r="R24" s="9" t="s">
        <v>36</v>
      </c>
      <c r="S24" s="9" t="s">
        <v>37</v>
      </c>
      <c r="T24" s="9" t="s">
        <v>38</v>
      </c>
    </row>
    <row r="25" customFormat="false" ht="15" hidden="false" customHeight="false" outlineLevel="0" collapsed="false">
      <c r="R25" s="23" t="s">
        <v>8</v>
      </c>
      <c r="S25" s="16" t="n">
        <f aca="false">SUM(S5:S21)</f>
        <v>1</v>
      </c>
      <c r="T25" s="16" t="n">
        <v>305</v>
      </c>
    </row>
    <row r="26" customFormat="false" ht="15" hidden="false" customHeight="false" outlineLevel="0" collapsed="false">
      <c r="R26" s="24" t="s">
        <v>9</v>
      </c>
      <c r="S26" s="16" t="n">
        <f aca="false">SUM(T5:T21)</f>
        <v>18</v>
      </c>
      <c r="T26" s="16" t="n">
        <v>10294</v>
      </c>
    </row>
    <row r="27" customFormat="false" ht="15" hidden="false" customHeight="false" outlineLevel="0" collapsed="false">
      <c r="R27" s="25" t="s">
        <v>11</v>
      </c>
      <c r="S27" s="16" t="n">
        <f aca="false">SUM(U5:U21)</f>
        <v>27</v>
      </c>
      <c r="T27" s="16" t="n">
        <v>13403</v>
      </c>
    </row>
    <row r="28" customFormat="false" ht="15" hidden="false" customHeight="false" outlineLevel="0" collapsed="false">
      <c r="R28" s="26" t="s">
        <v>10</v>
      </c>
      <c r="S28" s="16" t="n">
        <f aca="false">SUM(V5:V21)</f>
        <v>18</v>
      </c>
      <c r="T28" s="16" t="n">
        <v>16907</v>
      </c>
    </row>
    <row r="29" customFormat="false" ht="15" hidden="false" customHeight="false" outlineLevel="0" collapsed="false">
      <c r="R29" s="27" t="s">
        <v>33</v>
      </c>
      <c r="S29" s="17" t="n">
        <f aca="false">SUM(S25:S28)</f>
        <v>64</v>
      </c>
      <c r="T29" s="17" t="n">
        <f aca="false">SUM(T25:T28)</f>
        <v>40909</v>
      </c>
    </row>
    <row r="31" customFormat="false" ht="15" hidden="false" customHeight="false" outlineLevel="0" collapsed="false">
      <c r="R31" s="28" t="s">
        <v>39</v>
      </c>
    </row>
    <row r="32" customFormat="false" ht="15" hidden="false" customHeight="false" outlineLevel="0" collapsed="false">
      <c r="R32" s="9" t="s">
        <v>5</v>
      </c>
      <c r="S32" s="9" t="s">
        <v>8</v>
      </c>
      <c r="T32" s="9" t="s">
        <v>9</v>
      </c>
      <c r="U32" s="9" t="s">
        <v>11</v>
      </c>
      <c r="V32" s="9" t="s">
        <v>10</v>
      </c>
      <c r="W32" s="9" t="s">
        <v>33</v>
      </c>
    </row>
    <row r="33" customFormat="false" ht="15" hidden="false" customHeight="false" outlineLevel="0" collapsed="false">
      <c r="R33" s="15" t="s">
        <v>12</v>
      </c>
      <c r="S33" s="29"/>
      <c r="T33" s="29"/>
      <c r="U33" s="29" t="n">
        <v>11</v>
      </c>
      <c r="V33" s="29" t="n">
        <v>22</v>
      </c>
      <c r="W33" s="30" t="n">
        <f aca="false">SUM(S33:V33)</f>
        <v>33</v>
      </c>
    </row>
    <row r="34" customFormat="false" ht="15" hidden="false" customHeight="false" outlineLevel="0" collapsed="false">
      <c r="R34" s="15" t="s">
        <v>28</v>
      </c>
      <c r="S34" s="29"/>
      <c r="T34" s="29"/>
      <c r="U34" s="29"/>
      <c r="V34" s="29" t="n">
        <v>33</v>
      </c>
      <c r="W34" s="30" t="n">
        <f aca="false">SUM(S34:V34)</f>
        <v>33</v>
      </c>
    </row>
    <row r="35" customFormat="false" ht="15" hidden="false" customHeight="false" outlineLevel="0" collapsed="false">
      <c r="R35" s="15" t="s">
        <v>26</v>
      </c>
      <c r="S35" s="29"/>
      <c r="T35" s="29" t="n">
        <v>3</v>
      </c>
      <c r="U35" s="29" t="n">
        <v>11</v>
      </c>
      <c r="V35" s="29" t="n">
        <v>7</v>
      </c>
      <c r="W35" s="30" t="n">
        <f aca="false">SUM(S35:V35)</f>
        <v>21</v>
      </c>
    </row>
    <row r="36" customFormat="false" ht="15" hidden="false" customHeight="false" outlineLevel="0" collapsed="false">
      <c r="R36" s="15" t="s">
        <v>25</v>
      </c>
      <c r="S36" s="29"/>
      <c r="T36" s="29" t="n">
        <v>1</v>
      </c>
      <c r="U36" s="29" t="n">
        <v>1</v>
      </c>
      <c r="V36" s="29"/>
      <c r="W36" s="30" t="n">
        <f aca="false">SUM(S36:V36)</f>
        <v>2</v>
      </c>
    </row>
    <row r="37" customFormat="false" ht="15" hidden="false" customHeight="false" outlineLevel="0" collapsed="false">
      <c r="R37" s="15" t="s">
        <v>17</v>
      </c>
      <c r="S37" s="29"/>
      <c r="T37" s="29"/>
      <c r="U37" s="29" t="n">
        <v>1</v>
      </c>
      <c r="V37" s="29"/>
      <c r="W37" s="30" t="n">
        <f aca="false">SUM(S37:V37)</f>
        <v>1</v>
      </c>
    </row>
    <row r="38" customFormat="false" ht="15" hidden="false" customHeight="false" outlineLevel="0" collapsed="false">
      <c r="R38" s="15" t="s">
        <v>24</v>
      </c>
      <c r="S38" s="29"/>
      <c r="T38" s="29"/>
      <c r="U38" s="29"/>
      <c r="V38" s="29" t="n">
        <v>1</v>
      </c>
      <c r="W38" s="30" t="n">
        <f aca="false">SUM(S38:V38)</f>
        <v>1</v>
      </c>
    </row>
    <row r="41" customFormat="false" ht="15" hidden="false" customHeight="false" outlineLevel="0" collapsed="false">
      <c r="R41" s="28" t="s">
        <v>40</v>
      </c>
    </row>
    <row r="42" customFormat="false" ht="15" hidden="false" customHeight="false" outlineLevel="0" collapsed="false">
      <c r="R42" s="9" t="s">
        <v>5</v>
      </c>
      <c r="S42" s="9" t="s">
        <v>8</v>
      </c>
      <c r="T42" s="9" t="s">
        <v>9</v>
      </c>
      <c r="U42" s="9" t="s">
        <v>11</v>
      </c>
      <c r="V42" s="9" t="s">
        <v>10</v>
      </c>
      <c r="W42" s="9" t="s">
        <v>33</v>
      </c>
    </row>
    <row r="43" customFormat="false" ht="15" hidden="false" customHeight="false" outlineLevel="0" collapsed="false">
      <c r="R43" s="15" t="s">
        <v>16</v>
      </c>
      <c r="S43" s="29"/>
      <c r="T43" s="29"/>
      <c r="U43" s="29"/>
      <c r="V43" s="29" t="n">
        <v>932</v>
      </c>
      <c r="W43" s="30" t="n">
        <f aca="false">SUM(S43:V43)</f>
        <v>932</v>
      </c>
    </row>
    <row r="44" customFormat="false" ht="15" hidden="false" customHeight="false" outlineLevel="0" collapsed="false">
      <c r="R44" s="15" t="s">
        <v>15</v>
      </c>
      <c r="S44" s="29"/>
      <c r="T44" s="29" t="n">
        <v>664</v>
      </c>
      <c r="U44" s="29" t="n">
        <v>224</v>
      </c>
      <c r="V44" s="29"/>
      <c r="W44" s="30" t="n">
        <f aca="false">SUM(S44:V44)</f>
        <v>888</v>
      </c>
    </row>
    <row r="45" customFormat="false" ht="15" hidden="false" customHeight="false" outlineLevel="0" collapsed="false">
      <c r="R45" s="15" t="s">
        <v>18</v>
      </c>
      <c r="S45" s="29"/>
      <c r="T45" s="29"/>
      <c r="U45" s="29" t="n">
        <v>74</v>
      </c>
      <c r="V45" s="29" t="n">
        <v>340</v>
      </c>
      <c r="W45" s="30" t="n">
        <f aca="false">SUM(S45:V45)</f>
        <v>414</v>
      </c>
    </row>
    <row r="46" customFormat="false" ht="15" hidden="false" customHeight="false" outlineLevel="0" collapsed="false">
      <c r="R46" s="15" t="s">
        <v>27</v>
      </c>
      <c r="S46" s="29"/>
      <c r="T46" s="29"/>
      <c r="U46" s="29" t="n">
        <v>100</v>
      </c>
      <c r="V46" s="29"/>
      <c r="W46" s="30" t="n">
        <f aca="false">SUM(S46:V46)</f>
        <v>100</v>
      </c>
    </row>
    <row r="49" customFormat="false" ht="15" hidden="false" customHeight="false" outlineLevel="0" collapsed="false">
      <c r="R49" s="28" t="s">
        <v>41</v>
      </c>
    </row>
    <row r="50" customFormat="false" ht="15" hidden="false" customHeight="false" outlineLevel="0" collapsed="false">
      <c r="R50" s="9" t="s">
        <v>5</v>
      </c>
      <c r="S50" s="9" t="s">
        <v>8</v>
      </c>
      <c r="T50" s="9" t="s">
        <v>9</v>
      </c>
      <c r="U50" s="9" t="s">
        <v>11</v>
      </c>
      <c r="V50" s="9" t="s">
        <v>10</v>
      </c>
      <c r="W50" s="9" t="s">
        <v>33</v>
      </c>
    </row>
    <row r="51" customFormat="false" ht="15" hidden="false" customHeight="false" outlineLevel="0" collapsed="false">
      <c r="R51" s="15" t="s">
        <v>23</v>
      </c>
      <c r="S51" s="29"/>
      <c r="T51" s="29" t="n">
        <v>6311</v>
      </c>
      <c r="U51" s="29" t="n">
        <v>3540</v>
      </c>
      <c r="V51" s="29" t="n">
        <v>1572</v>
      </c>
      <c r="W51" s="30" t="n">
        <f aca="false">SUM(S51:V51)</f>
        <v>11423</v>
      </c>
    </row>
    <row r="52" customFormat="false" ht="15" hidden="false" customHeight="false" outlineLevel="0" collapsed="false">
      <c r="R52" s="15" t="s">
        <v>22</v>
      </c>
      <c r="S52" s="29"/>
      <c r="T52" s="29"/>
      <c r="U52" s="29" t="n">
        <v>1766</v>
      </c>
      <c r="V52" s="29" t="n">
        <v>9079</v>
      </c>
      <c r="W52" s="30" t="n">
        <f aca="false">SUM(S52:V52)</f>
        <v>10845</v>
      </c>
    </row>
    <row r="53" customFormat="false" ht="15" hidden="false" customHeight="false" outlineLevel="0" collapsed="false">
      <c r="R53" s="15" t="s">
        <v>19</v>
      </c>
      <c r="S53" s="29"/>
      <c r="T53" s="29" t="n">
        <v>1428</v>
      </c>
      <c r="U53" s="29" t="n">
        <v>4285</v>
      </c>
      <c r="V53" s="29" t="n">
        <v>2381</v>
      </c>
      <c r="W53" s="30" t="n">
        <f aca="false">SUM(S53:V53)</f>
        <v>8094</v>
      </c>
    </row>
    <row r="54" customFormat="false" ht="15" hidden="false" customHeight="false" outlineLevel="0" collapsed="false">
      <c r="R54" s="15" t="s">
        <v>13</v>
      </c>
      <c r="S54" s="29"/>
      <c r="T54" s="29"/>
      <c r="U54" s="29" t="n">
        <v>943</v>
      </c>
      <c r="V54" s="29" t="n">
        <v>2201</v>
      </c>
      <c r="W54" s="30" t="n">
        <f aca="false">SUM(S54:V54)</f>
        <v>3144</v>
      </c>
    </row>
    <row r="55" customFormat="false" ht="15" hidden="false" customHeight="false" outlineLevel="0" collapsed="false">
      <c r="R55" s="15" t="s">
        <v>21</v>
      </c>
      <c r="S55" s="29" t="n">
        <v>305</v>
      </c>
      <c r="T55" s="29" t="n">
        <v>202</v>
      </c>
      <c r="U55" s="29" t="n">
        <v>1317</v>
      </c>
      <c r="V55" s="29"/>
      <c r="W55" s="30" t="n">
        <f aca="false">SUM(S55:V55)</f>
        <v>1824</v>
      </c>
    </row>
    <row r="56" customFormat="false" ht="15" hidden="false" customHeight="false" outlineLevel="0" collapsed="false">
      <c r="R56" s="15" t="s">
        <v>20</v>
      </c>
      <c r="S56" s="29"/>
      <c r="T56" s="29" t="n">
        <v>1017</v>
      </c>
      <c r="U56" s="29" t="n">
        <v>339</v>
      </c>
      <c r="V56" s="29" t="n">
        <v>339</v>
      </c>
      <c r="W56" s="30" t="n">
        <f aca="false">SUM(S56:V56)</f>
        <v>1695</v>
      </c>
    </row>
    <row r="57" customFormat="false" ht="15" hidden="false" customHeight="false" outlineLevel="0" collapsed="false">
      <c r="R57" s="15" t="s">
        <v>14</v>
      </c>
      <c r="S57" s="29"/>
      <c r="T57" s="29" t="n">
        <v>668</v>
      </c>
      <c r="U57" s="29" t="n">
        <v>791</v>
      </c>
      <c r="V57" s="29"/>
      <c r="W57" s="30" t="n">
        <f aca="false">SUM(S57:V57)</f>
        <v>1459</v>
      </c>
    </row>
  </sheetData>
  <mergeCells count="12"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4"/>
    <col collapsed="false" customWidth="true" hidden="false" outlineLevel="0" max="9" min="2" style="0" width="14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6" t="s">
        <v>43</v>
      </c>
    </row>
    <row r="3" customFormat="false" ht="15" hidden="false" customHeight="false" outlineLevel="0" collapsed="false">
      <c r="A3" s="28" t="s">
        <v>44</v>
      </c>
      <c r="B3" s="31" t="s">
        <v>45</v>
      </c>
      <c r="C3" s="32" t="s">
        <v>46</v>
      </c>
      <c r="D3" s="33" t="s">
        <v>47</v>
      </c>
      <c r="E3" s="34" t="s">
        <v>48</v>
      </c>
    </row>
    <row r="5" customFormat="false" ht="33.75" hidden="false" customHeight="true" outlineLevel="0" collapsed="false">
      <c r="A5" s="9" t="s">
        <v>49</v>
      </c>
      <c r="B5" s="9" t="s">
        <v>50</v>
      </c>
      <c r="C5" s="9" t="s">
        <v>51</v>
      </c>
      <c r="D5" s="9" t="s">
        <v>52</v>
      </c>
      <c r="E5" s="9" t="s">
        <v>53</v>
      </c>
      <c r="F5" s="9" t="s">
        <v>54</v>
      </c>
      <c r="G5" s="9" t="s">
        <v>55</v>
      </c>
      <c r="H5" s="9" t="s">
        <v>56</v>
      </c>
      <c r="I5" s="9" t="s">
        <v>57</v>
      </c>
      <c r="J5" s="9" t="s">
        <v>58</v>
      </c>
      <c r="K5" s="9" t="s">
        <v>59</v>
      </c>
      <c r="L5" s="9" t="s">
        <v>60</v>
      </c>
      <c r="M5" s="9" t="s">
        <v>61</v>
      </c>
    </row>
    <row r="6" customFormat="false" ht="15" hidden="false" customHeight="false" outlineLevel="0" collapsed="false">
      <c r="A6" s="35" t="s">
        <v>23</v>
      </c>
      <c r="B6" s="36" t="n">
        <f aca="false">IF(SUM(B7:B15)=0,"",SUM(B7:B15))</f>
        <v>943</v>
      </c>
      <c r="C6" s="36" t="n">
        <f aca="false">IF(SUM(C7:C15)=0,"",SUM(C7:C15))</f>
        <v>1224</v>
      </c>
      <c r="D6" s="36" t="str">
        <f aca="false">IF(SUM(D7:D15)=0,"",SUM(D7:D15))</f>
        <v/>
      </c>
      <c r="E6" s="36" t="n">
        <f aca="false">IF(SUM(E7:E15)=0,"",SUM(E7:E15))</f>
        <v>3007</v>
      </c>
      <c r="F6" s="36" t="n">
        <f aca="false">IF(SUM(F7:F15)=0,"",SUM(F7:F15))</f>
        <v>4991</v>
      </c>
      <c r="G6" s="36" t="n">
        <f aca="false">IF(SUM(G7:G15)=0,"",SUM(G7:G15))</f>
        <v>1258</v>
      </c>
      <c r="H6" s="36" t="str">
        <f aca="false">IF(SUM(H7:H15)=0,"",SUM(H7:H15))</f>
        <v/>
      </c>
      <c r="I6" s="36" t="str">
        <f aca="false">IF(SUM(I7:I15)=0,"",SUM(I7:I15))</f>
        <v/>
      </c>
      <c r="J6" s="36" t="n">
        <f aca="false">IF(SUM(J7:J15)=0,"",SUM(J7:J15))</f>
        <v>11423</v>
      </c>
      <c r="K6" s="37" t="n">
        <v>10</v>
      </c>
      <c r="L6" s="38" t="s">
        <v>9</v>
      </c>
      <c r="M6" s="39" t="s">
        <v>62</v>
      </c>
    </row>
    <row r="7" customFormat="false" ht="15" hidden="false" customHeight="false" outlineLevel="1" collapsed="false">
      <c r="A7" s="15" t="s">
        <v>63</v>
      </c>
      <c r="B7" s="29"/>
      <c r="C7" s="29" t="n">
        <v>62</v>
      </c>
      <c r="D7" s="29"/>
      <c r="E7" s="29"/>
      <c r="F7" s="29" t="n">
        <v>3775</v>
      </c>
      <c r="G7" s="29"/>
      <c r="H7" s="29"/>
      <c r="I7" s="29"/>
      <c r="J7" s="29" t="n">
        <f aca="false">SUM(B7:I7)</f>
        <v>3837</v>
      </c>
      <c r="K7" s="16" t="n">
        <v>2</v>
      </c>
      <c r="L7" s="40" t="s">
        <v>9</v>
      </c>
      <c r="M7" s="15" t="s">
        <v>64</v>
      </c>
    </row>
    <row r="8" customFormat="false" ht="15" hidden="false" customHeight="false" outlineLevel="1" collapsed="false">
      <c r="A8" s="15" t="s">
        <v>65</v>
      </c>
      <c r="B8" s="29"/>
      <c r="C8" s="29"/>
      <c r="D8" s="29"/>
      <c r="E8" s="29" t="n">
        <v>1572</v>
      </c>
      <c r="F8" s="29"/>
      <c r="G8" s="29"/>
      <c r="H8" s="29"/>
      <c r="I8" s="29"/>
      <c r="J8" s="29" t="n">
        <f aca="false">SUM(B8:I8)</f>
        <v>1572</v>
      </c>
      <c r="K8" s="16" t="n">
        <v>1</v>
      </c>
      <c r="L8" s="41" t="s">
        <v>10</v>
      </c>
      <c r="M8" s="15" t="s">
        <v>66</v>
      </c>
    </row>
    <row r="9" customFormat="false" ht="15" hidden="false" customHeight="false" outlineLevel="1" collapsed="false">
      <c r="A9" s="15" t="s">
        <v>67</v>
      </c>
      <c r="B9" s="29"/>
      <c r="C9" s="29"/>
      <c r="D9" s="29"/>
      <c r="E9" s="29" t="n">
        <v>1435</v>
      </c>
      <c r="F9" s="29"/>
      <c r="G9" s="29"/>
      <c r="H9" s="29"/>
      <c r="I9" s="29"/>
      <c r="J9" s="29" t="n">
        <f aca="false">SUM(B9:I9)</f>
        <v>1435</v>
      </c>
      <c r="K9" s="16" t="n">
        <v>1</v>
      </c>
      <c r="L9" s="42" t="s">
        <v>11</v>
      </c>
      <c r="M9" s="15" t="s">
        <v>68</v>
      </c>
    </row>
    <row r="10" customFormat="false" ht="15" hidden="false" customHeight="false" outlineLevel="1" collapsed="false">
      <c r="A10" s="15" t="s">
        <v>69</v>
      </c>
      <c r="B10" s="29"/>
      <c r="C10" s="29"/>
      <c r="D10" s="29"/>
      <c r="E10" s="29"/>
      <c r="F10" s="29"/>
      <c r="G10" s="29" t="n">
        <v>1258</v>
      </c>
      <c r="H10" s="29"/>
      <c r="I10" s="29"/>
      <c r="J10" s="29" t="n">
        <f aca="false">SUM(B10:I10)</f>
        <v>1258</v>
      </c>
      <c r="K10" s="16" t="n">
        <v>1</v>
      </c>
      <c r="L10" s="40" t="s">
        <v>9</v>
      </c>
      <c r="M10" s="15" t="s">
        <v>70</v>
      </c>
    </row>
    <row r="11" customFormat="false" ht="15" hidden="false" customHeight="false" outlineLevel="1" collapsed="false">
      <c r="A11" s="15" t="s">
        <v>71</v>
      </c>
      <c r="B11" s="29" t="n">
        <v>943</v>
      </c>
      <c r="C11" s="29"/>
      <c r="D11" s="29"/>
      <c r="E11" s="29"/>
      <c r="F11" s="29"/>
      <c r="G11" s="29"/>
      <c r="H11" s="29"/>
      <c r="I11" s="29"/>
      <c r="J11" s="29" t="n">
        <f aca="false">SUM(B11:I11)</f>
        <v>943</v>
      </c>
      <c r="K11" s="16" t="n">
        <v>1</v>
      </c>
      <c r="L11" s="40" t="s">
        <v>9</v>
      </c>
      <c r="M11" s="15" t="s">
        <v>72</v>
      </c>
    </row>
    <row r="12" customFormat="false" ht="15" hidden="false" customHeight="false" outlineLevel="1" collapsed="false">
      <c r="A12" s="15" t="s">
        <v>73</v>
      </c>
      <c r="B12" s="29"/>
      <c r="C12" s="29"/>
      <c r="D12" s="29"/>
      <c r="E12" s="29"/>
      <c r="F12" s="29" t="n">
        <v>943</v>
      </c>
      <c r="G12" s="29"/>
      <c r="H12" s="29"/>
      <c r="I12" s="29"/>
      <c r="J12" s="29" t="n">
        <f aca="false">SUM(B12:I12)</f>
        <v>943</v>
      </c>
      <c r="K12" s="16" t="n">
        <v>1</v>
      </c>
      <c r="L12" s="42" t="s">
        <v>11</v>
      </c>
      <c r="M12" s="15" t="s">
        <v>74</v>
      </c>
    </row>
    <row r="13" customFormat="false" ht="15" hidden="false" customHeight="false" outlineLevel="1" collapsed="false">
      <c r="A13" s="15" t="s">
        <v>75</v>
      </c>
      <c r="B13" s="29"/>
      <c r="C13" s="29" t="n">
        <v>629</v>
      </c>
      <c r="D13" s="29"/>
      <c r="E13" s="29"/>
      <c r="F13" s="29"/>
      <c r="G13" s="29"/>
      <c r="H13" s="29"/>
      <c r="I13" s="29"/>
      <c r="J13" s="29" t="n">
        <f aca="false">SUM(B13:I13)</f>
        <v>629</v>
      </c>
      <c r="K13" s="16" t="n">
        <v>1</v>
      </c>
      <c r="L13" s="42" t="s">
        <v>11</v>
      </c>
      <c r="M13" s="15" t="s">
        <v>76</v>
      </c>
    </row>
    <row r="14" customFormat="false" ht="15" hidden="false" customHeight="false" outlineLevel="1" collapsed="false">
      <c r="A14" s="15" t="s">
        <v>77</v>
      </c>
      <c r="B14" s="29"/>
      <c r="C14" s="29" t="n">
        <v>533</v>
      </c>
      <c r="D14" s="29"/>
      <c r="E14" s="29"/>
      <c r="F14" s="29"/>
      <c r="G14" s="29"/>
      <c r="H14" s="29"/>
      <c r="I14" s="29"/>
      <c r="J14" s="29" t="n">
        <f aca="false">SUM(B14:I14)</f>
        <v>533</v>
      </c>
      <c r="K14" s="16" t="n">
        <v>1</v>
      </c>
      <c r="L14" s="42" t="s">
        <v>11</v>
      </c>
      <c r="M14" s="15" t="s">
        <v>78</v>
      </c>
    </row>
    <row r="15" customFormat="false" ht="15" hidden="false" customHeight="false" outlineLevel="1" collapsed="false">
      <c r="A15" s="15" t="s">
        <v>79</v>
      </c>
      <c r="B15" s="29"/>
      <c r="C15" s="29"/>
      <c r="D15" s="29"/>
      <c r="E15" s="29"/>
      <c r="F15" s="29" t="n">
        <v>273</v>
      </c>
      <c r="G15" s="29"/>
      <c r="H15" s="29"/>
      <c r="I15" s="29"/>
      <c r="J15" s="29" t="n">
        <f aca="false">SUM(B15:I15)</f>
        <v>273</v>
      </c>
      <c r="K15" s="16" t="n">
        <v>1</v>
      </c>
      <c r="L15" s="40" t="s">
        <v>9</v>
      </c>
      <c r="M15" s="15" t="s">
        <v>80</v>
      </c>
    </row>
    <row r="16" customFormat="false" ht="15" hidden="false" customHeight="false" outlineLevel="0" collapsed="false">
      <c r="A16" s="35" t="s">
        <v>22</v>
      </c>
      <c r="B16" s="36" t="n">
        <f aca="false">IF(SUM(B17:B19)=0,"",SUM(B17:B19))</f>
        <v>9079</v>
      </c>
      <c r="C16" s="36" t="str">
        <f aca="false">IF(SUM(C17:C19)=0,"",SUM(C17:C19))</f>
        <v/>
      </c>
      <c r="D16" s="36" t="str">
        <f aca="false">IF(SUM(D17:D19)=0,"",SUM(D17:D19))</f>
        <v/>
      </c>
      <c r="E16" s="36" t="n">
        <f aca="false">IF(SUM(E17:E19)=0,"",SUM(E17:E19))</f>
        <v>629</v>
      </c>
      <c r="F16" s="36" t="n">
        <f aca="false">IF(SUM(F17:F19)=0,"",SUM(F17:F19))</f>
        <v>1137</v>
      </c>
      <c r="G16" s="36" t="str">
        <f aca="false">IF(SUM(G17:G19)=0,"",SUM(G17:G19))</f>
        <v/>
      </c>
      <c r="H16" s="36" t="str">
        <f aca="false">IF(SUM(H17:H19)=0,"",SUM(H17:H19))</f>
        <v/>
      </c>
      <c r="I16" s="36" t="str">
        <f aca="false">IF(SUM(I17:I19)=0,"",SUM(I17:I19))</f>
        <v/>
      </c>
      <c r="J16" s="36" t="n">
        <f aca="false">IF(SUM(J17:J19)=0,"",SUM(J17:J19))</f>
        <v>10845</v>
      </c>
      <c r="K16" s="37" t="n">
        <v>3</v>
      </c>
      <c r="L16" s="43" t="s">
        <v>11</v>
      </c>
      <c r="M16" s="39" t="s">
        <v>81</v>
      </c>
    </row>
    <row r="17" customFormat="false" ht="15" hidden="false" customHeight="false" outlineLevel="1" collapsed="false">
      <c r="A17" s="15" t="s">
        <v>71</v>
      </c>
      <c r="B17" s="29" t="n">
        <v>9079</v>
      </c>
      <c r="C17" s="29"/>
      <c r="D17" s="29"/>
      <c r="E17" s="29"/>
      <c r="F17" s="29"/>
      <c r="G17" s="29"/>
      <c r="H17" s="29"/>
      <c r="I17" s="29"/>
      <c r="J17" s="29" t="n">
        <f aca="false">SUM(B17:I17)</f>
        <v>9079</v>
      </c>
      <c r="K17" s="16" t="n">
        <v>1</v>
      </c>
      <c r="L17" s="41" t="s">
        <v>10</v>
      </c>
      <c r="M17" s="15" t="s">
        <v>82</v>
      </c>
    </row>
    <row r="18" customFormat="false" ht="15" hidden="false" customHeight="false" outlineLevel="1" collapsed="false">
      <c r="A18" s="15" t="s">
        <v>83</v>
      </c>
      <c r="B18" s="29"/>
      <c r="C18" s="29"/>
      <c r="D18" s="29"/>
      <c r="E18" s="29"/>
      <c r="F18" s="29" t="n">
        <v>1137</v>
      </c>
      <c r="G18" s="29"/>
      <c r="H18" s="29"/>
      <c r="I18" s="29"/>
      <c r="J18" s="29" t="n">
        <f aca="false">SUM(B18:I18)</f>
        <v>1137</v>
      </c>
      <c r="K18" s="16" t="n">
        <v>1</v>
      </c>
      <c r="L18" s="42" t="s">
        <v>11</v>
      </c>
      <c r="M18" s="15" t="s">
        <v>84</v>
      </c>
    </row>
    <row r="19" customFormat="false" ht="15" hidden="false" customHeight="false" outlineLevel="1" collapsed="false">
      <c r="A19" s="15" t="s">
        <v>85</v>
      </c>
      <c r="B19" s="29"/>
      <c r="C19" s="29"/>
      <c r="D19" s="29"/>
      <c r="E19" s="29" t="n">
        <v>629</v>
      </c>
      <c r="F19" s="29"/>
      <c r="G19" s="29"/>
      <c r="H19" s="29"/>
      <c r="I19" s="29"/>
      <c r="J19" s="29" t="n">
        <f aca="false">SUM(B19:I19)</f>
        <v>629</v>
      </c>
      <c r="K19" s="16" t="n">
        <v>1</v>
      </c>
      <c r="L19" s="42" t="s">
        <v>11</v>
      </c>
      <c r="M19" s="15" t="s">
        <v>86</v>
      </c>
    </row>
    <row r="20" customFormat="false" ht="15" hidden="false" customHeight="false" outlineLevel="0" collapsed="false">
      <c r="A20" s="35" t="s">
        <v>19</v>
      </c>
      <c r="B20" s="36" t="str">
        <f aca="false">IF(SUM(B21:B27)=0,"",SUM(B21:B27))</f>
        <v/>
      </c>
      <c r="C20" s="36" t="n">
        <f aca="false">IF(SUM(C21:C27)=0,"",SUM(C21:C27))</f>
        <v>476</v>
      </c>
      <c r="D20" s="36" t="n">
        <f aca="false">IF(SUM(D21:D27)=0,"",SUM(D21:D27))</f>
        <v>952</v>
      </c>
      <c r="E20" s="36" t="str">
        <f aca="false">IF(SUM(E21:E27)=0,"",SUM(E21:E27))</f>
        <v/>
      </c>
      <c r="F20" s="36" t="n">
        <f aca="false">IF(SUM(F21:F27)=0,"",SUM(F21:F27))</f>
        <v>3333</v>
      </c>
      <c r="G20" s="36" t="n">
        <f aca="false">IF(SUM(G21:G27)=0,"",SUM(G21:G27))</f>
        <v>3333</v>
      </c>
      <c r="H20" s="36" t="str">
        <f aca="false">IF(SUM(H21:H27)=0,"",SUM(H21:H27))</f>
        <v/>
      </c>
      <c r="I20" s="36" t="str">
        <f aca="false">IF(SUM(I21:I27)=0,"",SUM(I21:I27))</f>
        <v/>
      </c>
      <c r="J20" s="36" t="n">
        <f aca="false">IF(SUM(J21:J27)=0,"",SUM(J21:J27))</f>
        <v>8094</v>
      </c>
      <c r="K20" s="37" t="n">
        <v>7</v>
      </c>
      <c r="L20" s="38" t="s">
        <v>9</v>
      </c>
      <c r="M20" s="39" t="s">
        <v>87</v>
      </c>
    </row>
    <row r="21" customFormat="false" ht="15" hidden="false" customHeight="false" outlineLevel="1" collapsed="false">
      <c r="A21" s="15" t="s">
        <v>88</v>
      </c>
      <c r="B21" s="29"/>
      <c r="C21" s="29"/>
      <c r="D21" s="29"/>
      <c r="E21" s="29"/>
      <c r="F21" s="29"/>
      <c r="G21" s="29" t="n">
        <v>2381</v>
      </c>
      <c r="H21" s="29"/>
      <c r="I21" s="29"/>
      <c r="J21" s="29" t="n">
        <f aca="false">SUM(B21:I21)</f>
        <v>2381</v>
      </c>
      <c r="K21" s="16" t="n">
        <v>1</v>
      </c>
      <c r="L21" s="42" t="s">
        <v>11</v>
      </c>
      <c r="M21" s="15" t="s">
        <v>89</v>
      </c>
    </row>
    <row r="22" customFormat="false" ht="15" hidden="false" customHeight="false" outlineLevel="1" collapsed="false">
      <c r="A22" s="15" t="s">
        <v>90</v>
      </c>
      <c r="B22" s="29"/>
      <c r="C22" s="29"/>
      <c r="D22" s="29"/>
      <c r="E22" s="29"/>
      <c r="F22" s="29" t="n">
        <v>2381</v>
      </c>
      <c r="G22" s="29"/>
      <c r="H22" s="29"/>
      <c r="I22" s="29"/>
      <c r="J22" s="29" t="n">
        <f aca="false">SUM(B22:I22)</f>
        <v>2381</v>
      </c>
      <c r="K22" s="16" t="n">
        <v>1</v>
      </c>
      <c r="L22" s="41" t="s">
        <v>10</v>
      </c>
      <c r="M22" s="15" t="s">
        <v>91</v>
      </c>
    </row>
    <row r="23" customFormat="false" ht="15" hidden="false" customHeight="false" outlineLevel="1" collapsed="false">
      <c r="A23" s="15" t="s">
        <v>92</v>
      </c>
      <c r="B23" s="29"/>
      <c r="C23" s="29"/>
      <c r="D23" s="29"/>
      <c r="E23" s="29"/>
      <c r="F23" s="29"/>
      <c r="G23" s="29" t="n">
        <v>952</v>
      </c>
      <c r="H23" s="29"/>
      <c r="I23" s="29"/>
      <c r="J23" s="29" t="n">
        <f aca="false">SUM(B23:I23)</f>
        <v>952</v>
      </c>
      <c r="K23" s="16" t="n">
        <v>1</v>
      </c>
      <c r="L23" s="42" t="s">
        <v>11</v>
      </c>
      <c r="M23" s="15" t="s">
        <v>93</v>
      </c>
    </row>
    <row r="24" customFormat="false" ht="15" hidden="false" customHeight="false" outlineLevel="1" collapsed="false">
      <c r="A24" s="15" t="s">
        <v>94</v>
      </c>
      <c r="B24" s="29"/>
      <c r="C24" s="29"/>
      <c r="D24" s="29"/>
      <c r="E24" s="29"/>
      <c r="F24" s="29" t="n">
        <v>952</v>
      </c>
      <c r="G24" s="29"/>
      <c r="H24" s="29"/>
      <c r="I24" s="29"/>
      <c r="J24" s="29" t="n">
        <f aca="false">SUM(B24:I24)</f>
        <v>952</v>
      </c>
      <c r="K24" s="16" t="n">
        <v>1</v>
      </c>
      <c r="L24" s="42" t="s">
        <v>11</v>
      </c>
      <c r="M24" s="15" t="s">
        <v>95</v>
      </c>
    </row>
    <row r="25" customFormat="false" ht="15" hidden="false" customHeight="false" outlineLevel="1" collapsed="false">
      <c r="A25" s="15" t="s">
        <v>85</v>
      </c>
      <c r="B25" s="29"/>
      <c r="C25" s="29"/>
      <c r="D25" s="29" t="n">
        <v>476</v>
      </c>
      <c r="E25" s="29"/>
      <c r="F25" s="29"/>
      <c r="G25" s="29"/>
      <c r="H25" s="29"/>
      <c r="I25" s="29"/>
      <c r="J25" s="29" t="n">
        <f aca="false">SUM(B25:I25)</f>
        <v>476</v>
      </c>
      <c r="K25" s="16" t="n">
        <v>1</v>
      </c>
      <c r="L25" s="40" t="s">
        <v>9</v>
      </c>
      <c r="M25" s="15" t="s">
        <v>96</v>
      </c>
    </row>
    <row r="26" customFormat="false" ht="15" hidden="false" customHeight="false" outlineLevel="1" collapsed="false">
      <c r="A26" s="15" t="s">
        <v>97</v>
      </c>
      <c r="B26" s="29"/>
      <c r="C26" s="29"/>
      <c r="D26" s="29" t="n">
        <v>476</v>
      </c>
      <c r="E26" s="29"/>
      <c r="F26" s="29"/>
      <c r="G26" s="29"/>
      <c r="H26" s="29"/>
      <c r="I26" s="29"/>
      <c r="J26" s="29" t="n">
        <f aca="false">SUM(B26:I26)</f>
        <v>476</v>
      </c>
      <c r="K26" s="16" t="n">
        <v>1</v>
      </c>
      <c r="L26" s="40" t="s">
        <v>9</v>
      </c>
      <c r="M26" s="15" t="s">
        <v>98</v>
      </c>
    </row>
    <row r="27" customFormat="false" ht="15" hidden="false" customHeight="false" outlineLevel="1" collapsed="false">
      <c r="A27" s="15" t="s">
        <v>99</v>
      </c>
      <c r="B27" s="29"/>
      <c r="C27" s="29" t="n">
        <v>476</v>
      </c>
      <c r="D27" s="29"/>
      <c r="E27" s="29"/>
      <c r="F27" s="29"/>
      <c r="G27" s="29"/>
      <c r="H27" s="29"/>
      <c r="I27" s="29"/>
      <c r="J27" s="29" t="n">
        <f aca="false">SUM(B27:I27)</f>
        <v>476</v>
      </c>
      <c r="K27" s="16" t="n">
        <v>1</v>
      </c>
      <c r="L27" s="40" t="s">
        <v>9</v>
      </c>
      <c r="M27" s="15" t="s">
        <v>100</v>
      </c>
    </row>
    <row r="28" customFormat="false" ht="15" hidden="false" customHeight="false" outlineLevel="0" collapsed="false">
      <c r="A28" s="35" t="s">
        <v>13</v>
      </c>
      <c r="B28" s="36" t="n">
        <f aca="false">IF(SUM(B29:B31)=0,"",SUM(B29:B31))</f>
        <v>629</v>
      </c>
      <c r="C28" s="36" t="str">
        <f aca="false">IF(SUM(C29:C31)=0,"",SUM(C29:C31))</f>
        <v/>
      </c>
      <c r="D28" s="36" t="str">
        <f aca="false">IF(SUM(D29:D31)=0,"",SUM(D29:D31))</f>
        <v/>
      </c>
      <c r="E28" s="36" t="n">
        <f aca="false">IF(SUM(E29:E31)=0,"",SUM(E29:E31))</f>
        <v>1572</v>
      </c>
      <c r="F28" s="36" t="n">
        <f aca="false">IF(SUM(F29:F31)=0,"",SUM(F29:F31))</f>
        <v>943</v>
      </c>
      <c r="G28" s="36" t="str">
        <f aca="false">IF(SUM(G29:G31)=0,"",SUM(G29:G31))</f>
        <v/>
      </c>
      <c r="H28" s="36" t="str">
        <f aca="false">IF(SUM(H29:H31)=0,"",SUM(H29:H31))</f>
        <v/>
      </c>
      <c r="I28" s="36" t="str">
        <f aca="false">IF(SUM(I29:I31)=0,"",SUM(I29:I31))</f>
        <v/>
      </c>
      <c r="J28" s="36" t="n">
        <f aca="false">IF(SUM(J29:J31)=0,"",SUM(J29:J31))</f>
        <v>3144</v>
      </c>
      <c r="K28" s="37" t="n">
        <v>3</v>
      </c>
      <c r="L28" s="43" t="s">
        <v>11</v>
      </c>
      <c r="M28" s="39" t="s">
        <v>101</v>
      </c>
    </row>
    <row r="29" customFormat="false" ht="15" hidden="false" customHeight="false" outlineLevel="1" collapsed="false">
      <c r="A29" s="15" t="s">
        <v>102</v>
      </c>
      <c r="B29" s="29"/>
      <c r="C29" s="29"/>
      <c r="D29" s="29"/>
      <c r="E29" s="29" t="n">
        <v>1572</v>
      </c>
      <c r="F29" s="29"/>
      <c r="G29" s="29"/>
      <c r="H29" s="29"/>
      <c r="I29" s="29"/>
      <c r="J29" s="29" t="n">
        <f aca="false">SUM(B29:I29)</f>
        <v>1572</v>
      </c>
      <c r="K29" s="16" t="n">
        <v>1</v>
      </c>
      <c r="L29" s="41" t="s">
        <v>10</v>
      </c>
      <c r="M29" s="15" t="s">
        <v>103</v>
      </c>
    </row>
    <row r="30" customFormat="false" ht="15" hidden="false" customHeight="false" outlineLevel="1" collapsed="false">
      <c r="A30" s="15" t="s">
        <v>104</v>
      </c>
      <c r="B30" s="29"/>
      <c r="C30" s="29"/>
      <c r="D30" s="29"/>
      <c r="E30" s="29"/>
      <c r="F30" s="29" t="n">
        <v>943</v>
      </c>
      <c r="G30" s="29"/>
      <c r="H30" s="29"/>
      <c r="I30" s="29"/>
      <c r="J30" s="29" t="n">
        <f aca="false">SUM(B30:I30)</f>
        <v>943</v>
      </c>
      <c r="K30" s="16" t="n">
        <v>1</v>
      </c>
      <c r="L30" s="42" t="s">
        <v>11</v>
      </c>
      <c r="M30" s="15" t="s">
        <v>105</v>
      </c>
    </row>
    <row r="31" customFormat="false" ht="15" hidden="false" customHeight="false" outlineLevel="1" collapsed="false">
      <c r="A31" s="15" t="s">
        <v>71</v>
      </c>
      <c r="B31" s="29" t="n">
        <v>629</v>
      </c>
      <c r="C31" s="29"/>
      <c r="D31" s="29"/>
      <c r="E31" s="29"/>
      <c r="F31" s="29"/>
      <c r="G31" s="29"/>
      <c r="H31" s="29"/>
      <c r="I31" s="29"/>
      <c r="J31" s="29" t="n">
        <f aca="false">SUM(B31:I31)</f>
        <v>629</v>
      </c>
      <c r="K31" s="16" t="n">
        <v>1</v>
      </c>
      <c r="L31" s="41" t="s">
        <v>10</v>
      </c>
      <c r="M31" s="15" t="s">
        <v>106</v>
      </c>
    </row>
    <row r="32" customFormat="false" ht="15" hidden="false" customHeight="false" outlineLevel="0" collapsed="false">
      <c r="A32" s="35" t="s">
        <v>21</v>
      </c>
      <c r="B32" s="36" t="n">
        <f aca="false">IF(SUM(B33:B37)=0,"",SUM(B33:B37))</f>
        <v>202</v>
      </c>
      <c r="C32" s="36" t="n">
        <f aca="false">IF(SUM(C33:C37)=0,"",SUM(C33:C37))</f>
        <v>101</v>
      </c>
      <c r="D32" s="36" t="str">
        <f aca="false">IF(SUM(D33:D37)=0,"",SUM(D33:D37))</f>
        <v/>
      </c>
      <c r="E32" s="36" t="n">
        <f aca="false">IF(SUM(E33:E37)=0,"",SUM(E33:E37))</f>
        <v>1014</v>
      </c>
      <c r="F32" s="36" t="n">
        <f aca="false">IF(SUM(F33:F37)=0,"",SUM(F33:F37))</f>
        <v>202</v>
      </c>
      <c r="G32" s="36" t="str">
        <f aca="false">IF(SUM(G33:G37)=0,"",SUM(G33:G37))</f>
        <v/>
      </c>
      <c r="H32" s="36" t="str">
        <f aca="false">IF(SUM(H33:H37)=0,"",SUM(H33:H37))</f>
        <v/>
      </c>
      <c r="I32" s="36" t="n">
        <f aca="false">IF(SUM(I33:I37)=0,"",SUM(I33:I37))</f>
        <v>305</v>
      </c>
      <c r="J32" s="36" t="n">
        <f aca="false">IF(SUM(J33:J37)=0,"",SUM(J33:J37))</f>
        <v>1824</v>
      </c>
      <c r="K32" s="37" t="n">
        <v>5</v>
      </c>
      <c r="L32" s="44" t="s">
        <v>8</v>
      </c>
      <c r="M32" s="39" t="s">
        <v>107</v>
      </c>
    </row>
    <row r="33" customFormat="false" ht="15" hidden="false" customHeight="false" outlineLevel="1" collapsed="false">
      <c r="A33" s="15" t="s">
        <v>85</v>
      </c>
      <c r="B33" s="29"/>
      <c r="C33" s="29"/>
      <c r="D33" s="29"/>
      <c r="E33" s="29" t="n">
        <v>1014</v>
      </c>
      <c r="F33" s="29"/>
      <c r="G33" s="29"/>
      <c r="H33" s="29"/>
      <c r="I33" s="29"/>
      <c r="J33" s="29" t="n">
        <f aca="false">SUM(B33:I33)</f>
        <v>1014</v>
      </c>
      <c r="K33" s="16" t="n">
        <v>1</v>
      </c>
      <c r="L33" s="42" t="s">
        <v>11</v>
      </c>
      <c r="M33" s="15" t="s">
        <v>108</v>
      </c>
    </row>
    <row r="34" customFormat="false" ht="15" hidden="false" customHeight="false" outlineLevel="1" collapsed="false">
      <c r="A34" s="15" t="s">
        <v>109</v>
      </c>
      <c r="B34" s="29"/>
      <c r="C34" s="29"/>
      <c r="D34" s="29"/>
      <c r="E34" s="29"/>
      <c r="F34" s="29"/>
      <c r="G34" s="29"/>
      <c r="H34" s="29"/>
      <c r="I34" s="29" t="n">
        <v>305</v>
      </c>
      <c r="J34" s="29" t="n">
        <f aca="false">SUM(B34:I34)</f>
        <v>305</v>
      </c>
      <c r="K34" s="16" t="n">
        <v>1</v>
      </c>
      <c r="L34" s="45" t="s">
        <v>8</v>
      </c>
      <c r="M34" s="15" t="s">
        <v>110</v>
      </c>
    </row>
    <row r="35" customFormat="false" ht="15" hidden="false" customHeight="false" outlineLevel="1" collapsed="false">
      <c r="A35" s="15" t="s">
        <v>111</v>
      </c>
      <c r="B35" s="29" t="n">
        <v>202</v>
      </c>
      <c r="C35" s="29"/>
      <c r="D35" s="29"/>
      <c r="E35" s="29"/>
      <c r="F35" s="29"/>
      <c r="G35" s="29"/>
      <c r="H35" s="29"/>
      <c r="I35" s="29"/>
      <c r="J35" s="29" t="n">
        <f aca="false">SUM(B35:I35)</f>
        <v>202</v>
      </c>
      <c r="K35" s="16" t="n">
        <v>1</v>
      </c>
      <c r="L35" s="40" t="s">
        <v>9</v>
      </c>
      <c r="M35" s="15" t="s">
        <v>112</v>
      </c>
    </row>
    <row r="36" customFormat="false" ht="15" hidden="false" customHeight="false" outlineLevel="1" collapsed="false">
      <c r="A36" s="15" t="s">
        <v>63</v>
      </c>
      <c r="B36" s="29"/>
      <c r="C36" s="29"/>
      <c r="D36" s="29"/>
      <c r="E36" s="29"/>
      <c r="F36" s="29" t="n">
        <v>202</v>
      </c>
      <c r="G36" s="29"/>
      <c r="H36" s="29"/>
      <c r="I36" s="29"/>
      <c r="J36" s="29" t="n">
        <f aca="false">SUM(B36:I36)</f>
        <v>202</v>
      </c>
      <c r="K36" s="16" t="n">
        <v>1</v>
      </c>
      <c r="L36" s="42" t="s">
        <v>11</v>
      </c>
      <c r="M36" s="15" t="s">
        <v>113</v>
      </c>
    </row>
    <row r="37" customFormat="false" ht="15" hidden="false" customHeight="false" outlineLevel="1" collapsed="false">
      <c r="A37" s="15" t="s">
        <v>114</v>
      </c>
      <c r="B37" s="29"/>
      <c r="C37" s="29" t="n">
        <v>101</v>
      </c>
      <c r="D37" s="29"/>
      <c r="E37" s="29"/>
      <c r="F37" s="29"/>
      <c r="G37" s="29"/>
      <c r="H37" s="29"/>
      <c r="I37" s="29"/>
      <c r="J37" s="29" t="n">
        <f aca="false">SUM(B37:I37)</f>
        <v>101</v>
      </c>
      <c r="K37" s="16" t="n">
        <v>1</v>
      </c>
      <c r="L37" s="42" t="s">
        <v>11</v>
      </c>
      <c r="M37" s="15" t="s">
        <v>115</v>
      </c>
    </row>
    <row r="38" customFormat="false" ht="15" hidden="false" customHeight="false" outlineLevel="0" collapsed="false">
      <c r="A38" s="35" t="s">
        <v>20</v>
      </c>
      <c r="B38" s="36" t="str">
        <f aca="false">IF(SUM(B39:B40)=0,"",SUM(B39:B40))</f>
        <v/>
      </c>
      <c r="C38" s="36" t="n">
        <f aca="false">IF(SUM(C39:C40)=0,"",SUM(C39:C40))</f>
        <v>678</v>
      </c>
      <c r="D38" s="36" t="str">
        <f aca="false">IF(SUM(D39:D40)=0,"",SUM(D39:D40))</f>
        <v/>
      </c>
      <c r="E38" s="36" t="str">
        <f aca="false">IF(SUM(E39:E40)=0,"",SUM(E39:E40))</f>
        <v/>
      </c>
      <c r="F38" s="36" t="str">
        <f aca="false">IF(SUM(F39:F40)=0,"",SUM(F39:F40))</f>
        <v/>
      </c>
      <c r="G38" s="36" t="n">
        <f aca="false">IF(SUM(G39:G40)=0,"",SUM(G39:G40))</f>
        <v>1017</v>
      </c>
      <c r="H38" s="36" t="str">
        <f aca="false">IF(SUM(H39:H40)=0,"",SUM(H39:H40))</f>
        <v/>
      </c>
      <c r="I38" s="36" t="str">
        <f aca="false">IF(SUM(I39:I40)=0,"",SUM(I39:I40))</f>
        <v/>
      </c>
      <c r="J38" s="36" t="n">
        <f aca="false">IF(SUM(J39:J40)=0,"",SUM(J39:J40))</f>
        <v>1695</v>
      </c>
      <c r="K38" s="37" t="n">
        <v>3</v>
      </c>
      <c r="L38" s="38" t="s">
        <v>9</v>
      </c>
      <c r="M38" s="39" t="s">
        <v>116</v>
      </c>
    </row>
    <row r="39" customFormat="false" ht="15" hidden="false" customHeight="false" outlineLevel="1" collapsed="false">
      <c r="A39" s="15" t="s">
        <v>117</v>
      </c>
      <c r="B39" s="29"/>
      <c r="C39" s="29" t="n">
        <v>339</v>
      </c>
      <c r="D39" s="29"/>
      <c r="E39" s="29"/>
      <c r="F39" s="29"/>
      <c r="G39" s="29" t="n">
        <v>1017</v>
      </c>
      <c r="H39" s="29"/>
      <c r="I39" s="29"/>
      <c r="J39" s="29" t="n">
        <f aca="false">SUM(B39:I39)</f>
        <v>1356</v>
      </c>
      <c r="K39" s="16" t="n">
        <v>2</v>
      </c>
      <c r="L39" s="40" t="s">
        <v>9</v>
      </c>
      <c r="M39" s="15" t="s">
        <v>118</v>
      </c>
    </row>
    <row r="40" customFormat="false" ht="15" hidden="false" customHeight="false" outlineLevel="1" collapsed="false">
      <c r="A40" s="15" t="s">
        <v>119</v>
      </c>
      <c r="B40" s="29"/>
      <c r="C40" s="29" t="n">
        <v>339</v>
      </c>
      <c r="D40" s="29"/>
      <c r="E40" s="29"/>
      <c r="F40" s="29"/>
      <c r="G40" s="29"/>
      <c r="H40" s="29"/>
      <c r="I40" s="29"/>
      <c r="J40" s="29" t="n">
        <f aca="false">SUM(B40:I40)</f>
        <v>339</v>
      </c>
      <c r="K40" s="16" t="n">
        <v>1</v>
      </c>
      <c r="L40" s="41" t="s">
        <v>10</v>
      </c>
      <c r="M40" s="15" t="s">
        <v>120</v>
      </c>
    </row>
    <row r="41" customFormat="false" ht="15" hidden="false" customHeight="false" outlineLevel="0" collapsed="false">
      <c r="A41" s="35" t="s">
        <v>14</v>
      </c>
      <c r="B41" s="36" t="n">
        <f aca="false">IF(SUM(B42:B46)=0,"",SUM(B42:B46))</f>
        <v>167</v>
      </c>
      <c r="C41" s="36" t="n">
        <f aca="false">IF(SUM(C42:C46)=0,"",SUM(C42:C46))</f>
        <v>334</v>
      </c>
      <c r="D41" s="36" t="n">
        <f aca="false">IF(SUM(D42:D46)=0,"",SUM(D42:D46))</f>
        <v>167</v>
      </c>
      <c r="E41" s="36" t="n">
        <f aca="false">IF(SUM(E42:E46)=0,"",SUM(E42:E46))</f>
        <v>123</v>
      </c>
      <c r="F41" s="36" t="str">
        <f aca="false">IF(SUM(F42:F46)=0,"",SUM(F42:F46))</f>
        <v/>
      </c>
      <c r="G41" s="36" t="str">
        <f aca="false">IF(SUM(G42:G46)=0,"",SUM(G42:G46))</f>
        <v/>
      </c>
      <c r="H41" s="36" t="n">
        <f aca="false">IF(SUM(H42:H46)=0,"",SUM(H42:H46))</f>
        <v>668</v>
      </c>
      <c r="I41" s="36" t="str">
        <f aca="false">IF(SUM(I42:I46)=0,"",SUM(I42:I46))</f>
        <v/>
      </c>
      <c r="J41" s="36" t="n">
        <f aca="false">IF(SUM(J42:J46)=0,"",SUM(J42:J46))</f>
        <v>1459</v>
      </c>
      <c r="K41" s="37" t="n">
        <v>5</v>
      </c>
      <c r="L41" s="38" t="s">
        <v>9</v>
      </c>
      <c r="M41" s="39" t="s">
        <v>121</v>
      </c>
    </row>
    <row r="42" customFormat="false" ht="15" hidden="false" customHeight="false" outlineLevel="1" collapsed="false">
      <c r="A42" s="15" t="s">
        <v>122</v>
      </c>
      <c r="B42" s="29"/>
      <c r="C42" s="29"/>
      <c r="D42" s="29"/>
      <c r="E42" s="29"/>
      <c r="F42" s="29"/>
      <c r="G42" s="29"/>
      <c r="H42" s="29" t="n">
        <v>668</v>
      </c>
      <c r="I42" s="29"/>
      <c r="J42" s="29" t="n">
        <f aca="false">SUM(B42:I42)</f>
        <v>668</v>
      </c>
      <c r="K42" s="16" t="n">
        <v>1</v>
      </c>
      <c r="L42" s="42" t="s">
        <v>11</v>
      </c>
      <c r="M42" s="15" t="s">
        <v>123</v>
      </c>
    </row>
    <row r="43" customFormat="false" ht="15" hidden="false" customHeight="false" outlineLevel="1" collapsed="false">
      <c r="A43" s="15" t="s">
        <v>99</v>
      </c>
      <c r="B43" s="29"/>
      <c r="C43" s="29" t="n">
        <v>334</v>
      </c>
      <c r="D43" s="29"/>
      <c r="E43" s="29"/>
      <c r="F43" s="29"/>
      <c r="G43" s="29"/>
      <c r="H43" s="29"/>
      <c r="I43" s="29"/>
      <c r="J43" s="29" t="n">
        <f aca="false">SUM(B43:I43)</f>
        <v>334</v>
      </c>
      <c r="K43" s="16" t="n">
        <v>1</v>
      </c>
      <c r="L43" s="40" t="s">
        <v>9</v>
      </c>
      <c r="M43" s="15" t="s">
        <v>124</v>
      </c>
    </row>
    <row r="44" customFormat="false" ht="15" hidden="false" customHeight="false" outlineLevel="1" collapsed="false">
      <c r="A44" s="15" t="s">
        <v>125</v>
      </c>
      <c r="B44" s="29" t="n">
        <v>167</v>
      </c>
      <c r="C44" s="29"/>
      <c r="D44" s="29"/>
      <c r="E44" s="29"/>
      <c r="F44" s="29"/>
      <c r="G44" s="29"/>
      <c r="H44" s="29"/>
      <c r="I44" s="29"/>
      <c r="J44" s="29" t="n">
        <f aca="false">SUM(B44:I44)</f>
        <v>167</v>
      </c>
      <c r="K44" s="16" t="n">
        <v>1</v>
      </c>
      <c r="L44" s="40" t="s">
        <v>9</v>
      </c>
      <c r="M44" s="15" t="s">
        <v>126</v>
      </c>
    </row>
    <row r="45" customFormat="false" ht="15" hidden="false" customHeight="false" outlineLevel="1" collapsed="false">
      <c r="A45" s="15" t="s">
        <v>97</v>
      </c>
      <c r="B45" s="29"/>
      <c r="C45" s="29"/>
      <c r="D45" s="29" t="n">
        <v>167</v>
      </c>
      <c r="E45" s="29"/>
      <c r="F45" s="29"/>
      <c r="G45" s="29"/>
      <c r="H45" s="29"/>
      <c r="I45" s="29"/>
      <c r="J45" s="29" t="n">
        <f aca="false">SUM(B45:I45)</f>
        <v>167</v>
      </c>
      <c r="K45" s="16" t="n">
        <v>1</v>
      </c>
      <c r="L45" s="40" t="s">
        <v>9</v>
      </c>
      <c r="M45" s="15" t="s">
        <v>127</v>
      </c>
    </row>
    <row r="46" customFormat="false" ht="15" hidden="false" customHeight="false" outlineLevel="1" collapsed="false">
      <c r="A46" s="15" t="s">
        <v>128</v>
      </c>
      <c r="B46" s="29"/>
      <c r="C46" s="29"/>
      <c r="D46" s="29"/>
      <c r="E46" s="29" t="n">
        <v>123</v>
      </c>
      <c r="F46" s="29"/>
      <c r="G46" s="29"/>
      <c r="H46" s="29"/>
      <c r="I46" s="29"/>
      <c r="J46" s="29" t="n">
        <f aca="false">SUM(B46:I46)</f>
        <v>123</v>
      </c>
      <c r="K46" s="16" t="n">
        <v>1</v>
      </c>
      <c r="L46" s="42" t="s">
        <v>11</v>
      </c>
      <c r="M46" s="15" t="s">
        <v>129</v>
      </c>
    </row>
    <row r="47" customFormat="false" ht="15" hidden="false" customHeight="false" outlineLevel="0" collapsed="false">
      <c r="A47" s="35" t="s">
        <v>16</v>
      </c>
      <c r="B47" s="36" t="n">
        <f aca="false">IF(SUM(B48:B50)=0,"",SUM(B48:B50))</f>
        <v>133</v>
      </c>
      <c r="C47" s="36" t="str">
        <f aca="false">IF(SUM(C48:C50)=0,"",SUM(C48:C50))</f>
        <v/>
      </c>
      <c r="D47" s="36" t="str">
        <f aca="false">IF(SUM(D48:D50)=0,"",SUM(D48:D50))</f>
        <v/>
      </c>
      <c r="E47" s="36" t="n">
        <f aca="false">IF(SUM(E48:E50)=0,"",SUM(E48:E50))</f>
        <v>533</v>
      </c>
      <c r="F47" s="36" t="n">
        <f aca="false">IF(SUM(F48:F50)=0,"",SUM(F48:F50))</f>
        <v>266</v>
      </c>
      <c r="G47" s="36" t="str">
        <f aca="false">IF(SUM(G48:G50)=0,"",SUM(G48:G50))</f>
        <v/>
      </c>
      <c r="H47" s="36" t="str">
        <f aca="false">IF(SUM(H48:H50)=0,"",SUM(H48:H50))</f>
        <v/>
      </c>
      <c r="I47" s="36" t="str">
        <f aca="false">IF(SUM(I48:I50)=0,"",SUM(I48:I50))</f>
        <v/>
      </c>
      <c r="J47" s="36" t="n">
        <f aca="false">IF(SUM(J48:J50)=0,"",SUM(J48:J50))</f>
        <v>932</v>
      </c>
      <c r="K47" s="37" t="n">
        <v>3</v>
      </c>
      <c r="L47" s="46" t="s">
        <v>10</v>
      </c>
      <c r="M47" s="39" t="s">
        <v>130</v>
      </c>
    </row>
    <row r="48" customFormat="false" ht="15" hidden="false" customHeight="false" outlineLevel="1" collapsed="false">
      <c r="A48" s="15" t="s">
        <v>131</v>
      </c>
      <c r="B48" s="29"/>
      <c r="C48" s="29"/>
      <c r="D48" s="29"/>
      <c r="E48" s="29" t="n">
        <v>533</v>
      </c>
      <c r="F48" s="29"/>
      <c r="G48" s="29"/>
      <c r="H48" s="29"/>
      <c r="I48" s="29"/>
      <c r="J48" s="29" t="n">
        <f aca="false">SUM(B48:I48)</f>
        <v>533</v>
      </c>
      <c r="K48" s="16" t="n">
        <v>1</v>
      </c>
      <c r="L48" s="41" t="s">
        <v>10</v>
      </c>
      <c r="M48" s="15" t="s">
        <v>132</v>
      </c>
    </row>
    <row r="49" customFormat="false" ht="15" hidden="false" customHeight="false" outlineLevel="1" collapsed="false">
      <c r="A49" s="15" t="s">
        <v>133</v>
      </c>
      <c r="B49" s="29"/>
      <c r="C49" s="29"/>
      <c r="D49" s="29"/>
      <c r="E49" s="29"/>
      <c r="F49" s="29" t="n">
        <v>266</v>
      </c>
      <c r="G49" s="29"/>
      <c r="H49" s="29"/>
      <c r="I49" s="29"/>
      <c r="J49" s="29" t="n">
        <f aca="false">SUM(B49:I49)</f>
        <v>266</v>
      </c>
      <c r="K49" s="16" t="n">
        <v>1</v>
      </c>
      <c r="L49" s="41" t="s">
        <v>10</v>
      </c>
      <c r="M49" s="15" t="s">
        <v>134</v>
      </c>
    </row>
    <row r="50" customFormat="false" ht="15" hidden="false" customHeight="false" outlineLevel="1" collapsed="false">
      <c r="A50" s="15" t="s">
        <v>71</v>
      </c>
      <c r="B50" s="29" t="n">
        <v>133</v>
      </c>
      <c r="C50" s="29"/>
      <c r="D50" s="29"/>
      <c r="E50" s="29"/>
      <c r="F50" s="29"/>
      <c r="G50" s="29"/>
      <c r="H50" s="29"/>
      <c r="I50" s="29"/>
      <c r="J50" s="29" t="n">
        <f aca="false">SUM(B50:I50)</f>
        <v>133</v>
      </c>
      <c r="K50" s="16" t="n">
        <v>1</v>
      </c>
      <c r="L50" s="41" t="s">
        <v>10</v>
      </c>
      <c r="M50" s="15" t="s">
        <v>135</v>
      </c>
    </row>
    <row r="51" customFormat="false" ht="15" hidden="false" customHeight="false" outlineLevel="0" collapsed="false">
      <c r="A51" s="35" t="s">
        <v>15</v>
      </c>
      <c r="B51" s="36" t="n">
        <f aca="false">IF(SUM(B52:B55)=0,"",SUM(B52:B55))</f>
        <v>221</v>
      </c>
      <c r="C51" s="36" t="n">
        <f aca="false">IF(SUM(C52:C55)=0,"",SUM(C52:C55))</f>
        <v>221</v>
      </c>
      <c r="D51" s="36" t="str">
        <f aca="false">IF(SUM(D52:D55)=0,"",SUM(D52:D55))</f>
        <v/>
      </c>
      <c r="E51" s="36" t="n">
        <f aca="false">IF(SUM(E52:E55)=0,"",SUM(E52:E55))</f>
        <v>3</v>
      </c>
      <c r="F51" s="36" t="n">
        <f aca="false">IF(SUM(F52:F55)=0,"",SUM(F52:F55))</f>
        <v>443</v>
      </c>
      <c r="G51" s="36" t="str">
        <f aca="false">IF(SUM(G52:G55)=0,"",SUM(G52:G55))</f>
        <v/>
      </c>
      <c r="H51" s="36" t="str">
        <f aca="false">IF(SUM(H52:H55)=0,"",SUM(H52:H55))</f>
        <v/>
      </c>
      <c r="I51" s="36" t="str">
        <f aca="false">IF(SUM(I52:I55)=0,"",SUM(I52:I55))</f>
        <v/>
      </c>
      <c r="J51" s="36" t="n">
        <f aca="false">IF(SUM(J52:J55)=0,"",SUM(J52:J55))</f>
        <v>888</v>
      </c>
      <c r="K51" s="37" t="n">
        <v>4</v>
      </c>
      <c r="L51" s="38" t="s">
        <v>9</v>
      </c>
      <c r="M51" s="39" t="s">
        <v>136</v>
      </c>
    </row>
    <row r="52" customFormat="false" ht="15" hidden="false" customHeight="false" outlineLevel="1" collapsed="false">
      <c r="A52" s="15" t="s">
        <v>137</v>
      </c>
      <c r="B52" s="29"/>
      <c r="C52" s="29"/>
      <c r="D52" s="29"/>
      <c r="E52" s="29"/>
      <c r="F52" s="29" t="n">
        <v>443</v>
      </c>
      <c r="G52" s="29"/>
      <c r="H52" s="29"/>
      <c r="I52" s="29"/>
      <c r="J52" s="29" t="n">
        <f aca="false">SUM(B52:I52)</f>
        <v>443</v>
      </c>
      <c r="K52" s="16" t="n">
        <v>1</v>
      </c>
      <c r="L52" s="40" t="s">
        <v>9</v>
      </c>
      <c r="M52" s="15" t="s">
        <v>138</v>
      </c>
    </row>
    <row r="53" customFormat="false" ht="15" hidden="false" customHeight="false" outlineLevel="1" collapsed="false">
      <c r="A53" s="15" t="s">
        <v>71</v>
      </c>
      <c r="B53" s="29" t="n">
        <v>221</v>
      </c>
      <c r="C53" s="29"/>
      <c r="D53" s="29"/>
      <c r="E53" s="29"/>
      <c r="F53" s="29"/>
      <c r="G53" s="29"/>
      <c r="H53" s="29"/>
      <c r="I53" s="29"/>
      <c r="J53" s="29" t="n">
        <f aca="false">SUM(B53:I53)</f>
        <v>221</v>
      </c>
      <c r="K53" s="16" t="n">
        <v>1</v>
      </c>
      <c r="L53" s="42" t="s">
        <v>11</v>
      </c>
      <c r="M53" s="15" t="s">
        <v>139</v>
      </c>
    </row>
    <row r="54" customFormat="false" ht="15" hidden="false" customHeight="false" outlineLevel="1" collapsed="false">
      <c r="A54" s="15" t="s">
        <v>140</v>
      </c>
      <c r="B54" s="29"/>
      <c r="C54" s="29" t="n">
        <v>221</v>
      </c>
      <c r="D54" s="29"/>
      <c r="E54" s="29"/>
      <c r="F54" s="29"/>
      <c r="G54" s="29"/>
      <c r="H54" s="29"/>
      <c r="I54" s="29"/>
      <c r="J54" s="29" t="n">
        <f aca="false">SUM(B54:I54)</f>
        <v>221</v>
      </c>
      <c r="K54" s="16" t="n">
        <v>1</v>
      </c>
      <c r="L54" s="40" t="s">
        <v>9</v>
      </c>
      <c r="M54" s="15" t="s">
        <v>141</v>
      </c>
    </row>
    <row r="55" customFormat="false" ht="15" hidden="false" customHeight="false" outlineLevel="1" collapsed="false">
      <c r="A55" s="15" t="s">
        <v>142</v>
      </c>
      <c r="B55" s="29"/>
      <c r="C55" s="29"/>
      <c r="D55" s="29"/>
      <c r="E55" s="29" t="n">
        <v>3</v>
      </c>
      <c r="F55" s="29"/>
      <c r="G55" s="29"/>
      <c r="H55" s="29"/>
      <c r="I55" s="29"/>
      <c r="J55" s="29" t="n">
        <f aca="false">SUM(B55:I55)</f>
        <v>3</v>
      </c>
      <c r="K55" s="16" t="n">
        <v>1</v>
      </c>
      <c r="L55" s="42" t="s">
        <v>11</v>
      </c>
      <c r="M55" s="15" t="s">
        <v>143</v>
      </c>
    </row>
    <row r="56" customFormat="false" ht="15" hidden="false" customHeight="false" outlineLevel="0" collapsed="false">
      <c r="A56" s="35" t="s">
        <v>18</v>
      </c>
      <c r="B56" s="36" t="n">
        <f aca="false">IF(SUM(B57:B61)=0,"",SUM(B57:B61))</f>
        <v>37</v>
      </c>
      <c r="C56" s="36" t="n">
        <f aca="false">IF(SUM(C57:C61)=0,"",SUM(C57:C61))</f>
        <v>81</v>
      </c>
      <c r="D56" s="36" t="str">
        <f aca="false">IF(SUM(D57:D61)=0,"",SUM(D57:D61))</f>
        <v/>
      </c>
      <c r="E56" s="36" t="n">
        <f aca="false">IF(SUM(E57:E61)=0,"",SUM(E57:E61))</f>
        <v>148</v>
      </c>
      <c r="F56" s="36" t="str">
        <f aca="false">IF(SUM(F57:F61)=0,"",SUM(F57:F61))</f>
        <v/>
      </c>
      <c r="G56" s="36" t="n">
        <f aca="false">IF(SUM(G57:G61)=0,"",SUM(G57:G61))</f>
        <v>148</v>
      </c>
      <c r="H56" s="36" t="str">
        <f aca="false">IF(SUM(H57:H61)=0,"",SUM(H57:H61))</f>
        <v/>
      </c>
      <c r="I56" s="36" t="str">
        <f aca="false">IF(SUM(I57:I61)=0,"",SUM(I57:I61))</f>
        <v/>
      </c>
      <c r="J56" s="36" t="n">
        <f aca="false">IF(SUM(J57:J61)=0,"",SUM(J57:J61))</f>
        <v>414</v>
      </c>
      <c r="K56" s="37" t="n">
        <v>5</v>
      </c>
      <c r="L56" s="43" t="s">
        <v>11</v>
      </c>
      <c r="M56" s="39" t="s">
        <v>144</v>
      </c>
    </row>
    <row r="57" customFormat="false" ht="15" hidden="false" customHeight="false" outlineLevel="1" collapsed="false">
      <c r="A57" s="15" t="s">
        <v>145</v>
      </c>
      <c r="B57" s="29"/>
      <c r="C57" s="29"/>
      <c r="D57" s="29"/>
      <c r="E57" s="29"/>
      <c r="F57" s="29"/>
      <c r="G57" s="29" t="n">
        <v>148</v>
      </c>
      <c r="H57" s="29"/>
      <c r="I57" s="29"/>
      <c r="J57" s="29" t="n">
        <f aca="false">SUM(B57:I57)</f>
        <v>148</v>
      </c>
      <c r="K57" s="16" t="n">
        <v>1</v>
      </c>
      <c r="L57" s="41" t="s">
        <v>10</v>
      </c>
      <c r="M57" s="15" t="s">
        <v>146</v>
      </c>
    </row>
    <row r="58" customFormat="false" ht="15" hidden="false" customHeight="false" outlineLevel="1" collapsed="false">
      <c r="A58" s="15" t="s">
        <v>147</v>
      </c>
      <c r="B58" s="29"/>
      <c r="C58" s="29"/>
      <c r="D58" s="29"/>
      <c r="E58" s="29" t="n">
        <v>148</v>
      </c>
      <c r="F58" s="29"/>
      <c r="G58" s="29"/>
      <c r="H58" s="29"/>
      <c r="I58" s="29"/>
      <c r="J58" s="29" t="n">
        <f aca="false">SUM(B58:I58)</f>
        <v>148</v>
      </c>
      <c r="K58" s="16" t="n">
        <v>1</v>
      </c>
      <c r="L58" s="41" t="s">
        <v>10</v>
      </c>
      <c r="M58" s="15" t="s">
        <v>148</v>
      </c>
    </row>
    <row r="59" customFormat="false" ht="15" hidden="false" customHeight="false" outlineLevel="1" collapsed="false">
      <c r="A59" s="15" t="s">
        <v>149</v>
      </c>
      <c r="B59" s="29"/>
      <c r="C59" s="29" t="n">
        <v>74</v>
      </c>
      <c r="D59" s="29"/>
      <c r="E59" s="29"/>
      <c r="F59" s="29"/>
      <c r="G59" s="29"/>
      <c r="H59" s="29"/>
      <c r="I59" s="29"/>
      <c r="J59" s="29" t="n">
        <f aca="false">SUM(B59:I59)</f>
        <v>74</v>
      </c>
      <c r="K59" s="16" t="n">
        <v>1</v>
      </c>
      <c r="L59" s="42" t="s">
        <v>11</v>
      </c>
      <c r="M59" s="15" t="s">
        <v>150</v>
      </c>
    </row>
    <row r="60" customFormat="false" ht="15" hidden="false" customHeight="false" outlineLevel="1" collapsed="false">
      <c r="A60" s="15" t="s">
        <v>71</v>
      </c>
      <c r="B60" s="29" t="n">
        <v>37</v>
      </c>
      <c r="C60" s="29"/>
      <c r="D60" s="29"/>
      <c r="E60" s="29"/>
      <c r="F60" s="29"/>
      <c r="G60" s="29"/>
      <c r="H60" s="29"/>
      <c r="I60" s="29"/>
      <c r="J60" s="29" t="n">
        <f aca="false">SUM(B60:I60)</f>
        <v>37</v>
      </c>
      <c r="K60" s="16" t="n">
        <v>1</v>
      </c>
      <c r="L60" s="41" t="s">
        <v>10</v>
      </c>
      <c r="M60" s="15" t="s">
        <v>151</v>
      </c>
    </row>
    <row r="61" customFormat="false" ht="15" hidden="false" customHeight="false" outlineLevel="1" collapsed="false">
      <c r="A61" s="15" t="s">
        <v>152</v>
      </c>
      <c r="B61" s="29"/>
      <c r="C61" s="29" t="n">
        <v>7</v>
      </c>
      <c r="D61" s="29"/>
      <c r="E61" s="29"/>
      <c r="F61" s="29"/>
      <c r="G61" s="29"/>
      <c r="H61" s="29"/>
      <c r="I61" s="29"/>
      <c r="J61" s="29" t="n">
        <f aca="false">SUM(B61:I61)</f>
        <v>7</v>
      </c>
      <c r="K61" s="16" t="n">
        <v>1</v>
      </c>
      <c r="L61" s="41" t="s">
        <v>10</v>
      </c>
      <c r="M61" s="15" t="s">
        <v>153</v>
      </c>
    </row>
    <row r="62" customFormat="false" ht="15" hidden="false" customHeight="false" outlineLevel="0" collapsed="false">
      <c r="A62" s="35" t="s">
        <v>27</v>
      </c>
      <c r="B62" s="36" t="str">
        <f aca="false">IF(SUM(B63:B64)=0,"",SUM(B63:B64))</f>
        <v/>
      </c>
      <c r="C62" s="36" t="n">
        <f aca="false">IF(SUM(C63:C64)=0,"",SUM(C63:C64))</f>
        <v>50</v>
      </c>
      <c r="D62" s="36" t="str">
        <f aca="false">IF(SUM(D63:D64)=0,"",SUM(D63:D64))</f>
        <v/>
      </c>
      <c r="E62" s="36" t="n">
        <f aca="false">IF(SUM(E63:E64)=0,"",SUM(E63:E64))</f>
        <v>25</v>
      </c>
      <c r="F62" s="36" t="n">
        <f aca="false">IF(SUM(F63:F64)=0,"",SUM(F63:F64))</f>
        <v>25</v>
      </c>
      <c r="G62" s="36" t="str">
        <f aca="false">IF(SUM(G63:G64)=0,"",SUM(G63:G64))</f>
        <v/>
      </c>
      <c r="H62" s="36" t="str">
        <f aca="false">IF(SUM(H63:H64)=0,"",SUM(H63:H64))</f>
        <v/>
      </c>
      <c r="I62" s="36" t="str">
        <f aca="false">IF(SUM(I63:I64)=0,"",SUM(I63:I64))</f>
        <v/>
      </c>
      <c r="J62" s="36" t="n">
        <f aca="false">IF(SUM(J63:J64)=0,"",SUM(J63:J64))</f>
        <v>100</v>
      </c>
      <c r="K62" s="37" t="n">
        <v>3</v>
      </c>
      <c r="L62" s="43" t="s">
        <v>11</v>
      </c>
      <c r="M62" s="39" t="s">
        <v>154</v>
      </c>
    </row>
    <row r="63" customFormat="false" ht="15" hidden="false" customHeight="false" outlineLevel="1" collapsed="false">
      <c r="A63" s="15" t="s">
        <v>155</v>
      </c>
      <c r="B63" s="29"/>
      <c r="C63" s="29"/>
      <c r="D63" s="29"/>
      <c r="E63" s="29" t="n">
        <v>25</v>
      </c>
      <c r="F63" s="29" t="n">
        <v>25</v>
      </c>
      <c r="G63" s="29"/>
      <c r="H63" s="29"/>
      <c r="I63" s="29"/>
      <c r="J63" s="29" t="n">
        <f aca="false">SUM(B63:I63)</f>
        <v>50</v>
      </c>
      <c r="K63" s="16" t="n">
        <v>2</v>
      </c>
      <c r="L63" s="42" t="s">
        <v>11</v>
      </c>
      <c r="M63" s="15" t="s">
        <v>156</v>
      </c>
    </row>
    <row r="64" customFormat="false" ht="15" hidden="false" customHeight="false" outlineLevel="1" collapsed="false">
      <c r="A64" s="15" t="s">
        <v>157</v>
      </c>
      <c r="B64" s="29"/>
      <c r="C64" s="29" t="n">
        <v>50</v>
      </c>
      <c r="D64" s="29"/>
      <c r="E64" s="29"/>
      <c r="F64" s="29"/>
      <c r="G64" s="29"/>
      <c r="H64" s="29"/>
      <c r="I64" s="29"/>
      <c r="J64" s="29" t="n">
        <f aca="false">SUM(B64:I64)</f>
        <v>50</v>
      </c>
      <c r="K64" s="16" t="n">
        <v>1</v>
      </c>
      <c r="L64" s="42" t="s">
        <v>11</v>
      </c>
      <c r="M64" s="15" t="s">
        <v>158</v>
      </c>
    </row>
    <row r="65" customFormat="false" ht="15" hidden="false" customHeight="false" outlineLevel="0" collapsed="false">
      <c r="A65" s="35" t="s">
        <v>12</v>
      </c>
      <c r="B65" s="36" t="str">
        <f aca="false">IF(SUM(B66:B67)=0,"",SUM(B66:B67))</f>
        <v/>
      </c>
      <c r="C65" s="36" t="n">
        <f aca="false">IF(SUM(C66:C67)=0,"",SUM(C66:C67))</f>
        <v>11</v>
      </c>
      <c r="D65" s="36" t="str">
        <f aca="false">IF(SUM(D66:D67)=0,"",SUM(D66:D67))</f>
        <v/>
      </c>
      <c r="E65" s="36" t="str">
        <f aca="false">IF(SUM(E66:E67)=0,"",SUM(E66:E67))</f>
        <v/>
      </c>
      <c r="F65" s="36" t="n">
        <f aca="false">IF(SUM(F66:F67)=0,"",SUM(F66:F67))</f>
        <v>22</v>
      </c>
      <c r="G65" s="36" t="str">
        <f aca="false">IF(SUM(G66:G67)=0,"",SUM(G66:G67))</f>
        <v/>
      </c>
      <c r="H65" s="36" t="str">
        <f aca="false">IF(SUM(H66:H67)=0,"",SUM(H66:H67))</f>
        <v/>
      </c>
      <c r="I65" s="36" t="str">
        <f aca="false">IF(SUM(I66:I67)=0,"",SUM(I66:I67))</f>
        <v/>
      </c>
      <c r="J65" s="36" t="n">
        <f aca="false">IF(SUM(J66:J67)=0,"",SUM(J66:J67))</f>
        <v>33</v>
      </c>
      <c r="K65" s="37" t="n">
        <v>2</v>
      </c>
      <c r="L65" s="43" t="s">
        <v>11</v>
      </c>
      <c r="M65" s="39" t="s">
        <v>159</v>
      </c>
    </row>
    <row r="66" customFormat="false" ht="15" hidden="false" customHeight="false" outlineLevel="1" collapsed="false">
      <c r="A66" s="15" t="s">
        <v>133</v>
      </c>
      <c r="B66" s="29"/>
      <c r="C66" s="29"/>
      <c r="D66" s="29"/>
      <c r="E66" s="29"/>
      <c r="F66" s="29" t="n">
        <v>22</v>
      </c>
      <c r="G66" s="29"/>
      <c r="H66" s="29"/>
      <c r="I66" s="29"/>
      <c r="J66" s="29" t="n">
        <f aca="false">SUM(B66:I66)</f>
        <v>22</v>
      </c>
      <c r="K66" s="16" t="n">
        <v>1</v>
      </c>
      <c r="L66" s="41" t="s">
        <v>10</v>
      </c>
      <c r="M66" s="15" t="s">
        <v>160</v>
      </c>
    </row>
    <row r="67" customFormat="false" ht="15" hidden="false" customHeight="false" outlineLevel="1" collapsed="false">
      <c r="A67" s="15" t="s">
        <v>161</v>
      </c>
      <c r="B67" s="29"/>
      <c r="C67" s="29" t="n">
        <v>11</v>
      </c>
      <c r="D67" s="29"/>
      <c r="E67" s="29"/>
      <c r="F67" s="29"/>
      <c r="G67" s="29"/>
      <c r="H67" s="29"/>
      <c r="I67" s="29"/>
      <c r="J67" s="29" t="n">
        <f aca="false">SUM(B67:I67)</f>
        <v>11</v>
      </c>
      <c r="K67" s="16" t="n">
        <v>1</v>
      </c>
      <c r="L67" s="42" t="s">
        <v>11</v>
      </c>
      <c r="M67" s="15" t="s">
        <v>162</v>
      </c>
    </row>
    <row r="68" customFormat="false" ht="15" hidden="false" customHeight="false" outlineLevel="0" collapsed="false">
      <c r="A68" s="35" t="s">
        <v>28</v>
      </c>
      <c r="B68" s="36" t="str">
        <f aca="false">IF(SUM(B69:B69)=0,"",SUM(B69:B69))</f>
        <v/>
      </c>
      <c r="C68" s="36" t="str">
        <f aca="false">IF(SUM(C69:C69)=0,"",SUM(C69:C69))</f>
        <v/>
      </c>
      <c r="D68" s="36" t="str">
        <f aca="false">IF(SUM(D69:D69)=0,"",SUM(D69:D69))</f>
        <v/>
      </c>
      <c r="E68" s="36" t="str">
        <f aca="false">IF(SUM(E69:E69)=0,"",SUM(E69:E69))</f>
        <v/>
      </c>
      <c r="F68" s="36" t="str">
        <f aca="false">IF(SUM(F69:F69)=0,"",SUM(F69:F69))</f>
        <v/>
      </c>
      <c r="G68" s="36" t="n">
        <f aca="false">IF(SUM(G69:G69)=0,"",SUM(G69:G69))</f>
        <v>33</v>
      </c>
      <c r="H68" s="36" t="str">
        <f aca="false">IF(SUM(H69:H69)=0,"",SUM(H69:H69))</f>
        <v/>
      </c>
      <c r="I68" s="36" t="str">
        <f aca="false">IF(SUM(I69:I69)=0,"",SUM(I69:I69))</f>
        <v/>
      </c>
      <c r="J68" s="36" t="n">
        <f aca="false">IF(SUM(J69:J69)=0,"",SUM(J69:J69))</f>
        <v>33</v>
      </c>
      <c r="K68" s="37" t="n">
        <v>1</v>
      </c>
      <c r="L68" s="46" t="s">
        <v>10</v>
      </c>
      <c r="M68" s="39" t="s">
        <v>163</v>
      </c>
    </row>
    <row r="69" customFormat="false" ht="15" hidden="false" customHeight="false" outlineLevel="1" collapsed="false">
      <c r="A69" s="15" t="s">
        <v>164</v>
      </c>
      <c r="B69" s="29"/>
      <c r="C69" s="29"/>
      <c r="D69" s="29"/>
      <c r="E69" s="29"/>
      <c r="F69" s="29"/>
      <c r="G69" s="29" t="n">
        <v>33</v>
      </c>
      <c r="H69" s="29"/>
      <c r="I69" s="29"/>
      <c r="J69" s="29" t="n">
        <f aca="false">SUM(B69:I69)</f>
        <v>33</v>
      </c>
      <c r="K69" s="16" t="n">
        <v>1</v>
      </c>
      <c r="L69" s="41" t="s">
        <v>10</v>
      </c>
      <c r="M69" s="15" t="s">
        <v>163</v>
      </c>
    </row>
    <row r="70" customFormat="false" ht="15" hidden="false" customHeight="false" outlineLevel="0" collapsed="false">
      <c r="A70" s="35" t="s">
        <v>26</v>
      </c>
      <c r="B70" s="36" t="n">
        <f aca="false">IF(SUM(B71:B76)=0,"",SUM(B71:B76))</f>
        <v>2</v>
      </c>
      <c r="C70" s="36" t="n">
        <f aca="false">IF(SUM(C71:C76)=0,"",SUM(C71:C76))</f>
        <v>2</v>
      </c>
      <c r="D70" s="36" t="str">
        <f aca="false">IF(SUM(D71:D76)=0,"",SUM(D71:D76))</f>
        <v/>
      </c>
      <c r="E70" s="36" t="n">
        <f aca="false">IF(SUM(E71:E76)=0,"",SUM(E71:E76))</f>
        <v>2</v>
      </c>
      <c r="F70" s="36" t="n">
        <f aca="false">IF(SUM(F71:F76)=0,"",SUM(F71:F76))</f>
        <v>14</v>
      </c>
      <c r="G70" s="36" t="n">
        <f aca="false">IF(SUM(G71:G76)=0,"",SUM(G71:G76))</f>
        <v>1</v>
      </c>
      <c r="H70" s="36" t="str">
        <f aca="false">IF(SUM(H71:H76)=0,"",SUM(H71:H76))</f>
        <v/>
      </c>
      <c r="I70" s="36" t="str">
        <f aca="false">IF(SUM(I71:I76)=0,"",SUM(I71:I76))</f>
        <v/>
      </c>
      <c r="J70" s="36" t="n">
        <f aca="false">IF(SUM(J71:J76)=0,"",SUM(J71:J76))</f>
        <v>21</v>
      </c>
      <c r="K70" s="37" t="n">
        <v>6</v>
      </c>
      <c r="L70" s="38" t="s">
        <v>9</v>
      </c>
      <c r="M70" s="39" t="s">
        <v>165</v>
      </c>
    </row>
    <row r="71" customFormat="false" ht="15" hidden="false" customHeight="false" outlineLevel="1" collapsed="false">
      <c r="A71" s="15" t="s">
        <v>166</v>
      </c>
      <c r="B71" s="29"/>
      <c r="C71" s="29"/>
      <c r="D71" s="29"/>
      <c r="E71" s="29"/>
      <c r="F71" s="29" t="n">
        <v>9</v>
      </c>
      <c r="G71" s="29"/>
      <c r="H71" s="29"/>
      <c r="I71" s="29"/>
      <c r="J71" s="29" t="n">
        <f aca="false">SUM(B71:I71)</f>
        <v>9</v>
      </c>
      <c r="K71" s="16" t="n">
        <v>1</v>
      </c>
      <c r="L71" s="42" t="s">
        <v>11</v>
      </c>
      <c r="M71" s="15" t="s">
        <v>167</v>
      </c>
    </row>
    <row r="72" customFormat="false" ht="15" hidden="false" customHeight="false" outlineLevel="1" collapsed="false">
      <c r="A72" s="15" t="s">
        <v>168</v>
      </c>
      <c r="B72" s="29"/>
      <c r="C72" s="29"/>
      <c r="D72" s="29"/>
      <c r="E72" s="29"/>
      <c r="F72" s="29" t="n">
        <v>5</v>
      </c>
      <c r="G72" s="29"/>
      <c r="H72" s="29"/>
      <c r="I72" s="29"/>
      <c r="J72" s="29" t="n">
        <f aca="false">SUM(B72:I72)</f>
        <v>5</v>
      </c>
      <c r="K72" s="16" t="n">
        <v>1</v>
      </c>
      <c r="L72" s="41" t="s">
        <v>10</v>
      </c>
      <c r="M72" s="15" t="s">
        <v>169</v>
      </c>
    </row>
    <row r="73" customFormat="false" ht="15" hidden="false" customHeight="false" outlineLevel="1" collapsed="false">
      <c r="A73" s="15" t="s">
        <v>170</v>
      </c>
      <c r="B73" s="29"/>
      <c r="C73" s="29"/>
      <c r="D73" s="29"/>
      <c r="E73" s="29" t="n">
        <v>2</v>
      </c>
      <c r="F73" s="29"/>
      <c r="G73" s="29"/>
      <c r="H73" s="29"/>
      <c r="I73" s="29"/>
      <c r="J73" s="29" t="n">
        <f aca="false">SUM(B73:I73)</f>
        <v>2</v>
      </c>
      <c r="K73" s="16" t="n">
        <v>1</v>
      </c>
      <c r="L73" s="42" t="s">
        <v>11</v>
      </c>
      <c r="M73" s="15" t="s">
        <v>171</v>
      </c>
    </row>
    <row r="74" customFormat="false" ht="15" hidden="false" customHeight="false" outlineLevel="1" collapsed="false">
      <c r="A74" s="15" t="s">
        <v>90</v>
      </c>
      <c r="B74" s="29" t="n">
        <v>2</v>
      </c>
      <c r="C74" s="29"/>
      <c r="D74" s="29"/>
      <c r="E74" s="29"/>
      <c r="F74" s="29"/>
      <c r="G74" s="29"/>
      <c r="H74" s="29"/>
      <c r="I74" s="29"/>
      <c r="J74" s="29" t="n">
        <f aca="false">SUM(B74:I74)</f>
        <v>2</v>
      </c>
      <c r="K74" s="16" t="n">
        <v>1</v>
      </c>
      <c r="L74" s="40" t="s">
        <v>9</v>
      </c>
      <c r="M74" s="15" t="s">
        <v>172</v>
      </c>
    </row>
    <row r="75" customFormat="false" ht="15" hidden="false" customHeight="false" outlineLevel="1" collapsed="false">
      <c r="A75" s="15" t="s">
        <v>173</v>
      </c>
      <c r="B75" s="29"/>
      <c r="C75" s="29" t="n">
        <v>2</v>
      </c>
      <c r="D75" s="29"/>
      <c r="E75" s="29"/>
      <c r="F75" s="29"/>
      <c r="G75" s="29"/>
      <c r="H75" s="29"/>
      <c r="I75" s="29"/>
      <c r="J75" s="29" t="n">
        <f aca="false">SUM(B75:I75)</f>
        <v>2</v>
      </c>
      <c r="K75" s="16" t="n">
        <v>1</v>
      </c>
      <c r="L75" s="41" t="s">
        <v>10</v>
      </c>
      <c r="M75" s="15" t="s">
        <v>174</v>
      </c>
    </row>
    <row r="76" customFormat="false" ht="15" hidden="false" customHeight="false" outlineLevel="1" collapsed="false">
      <c r="A76" s="15" t="s">
        <v>175</v>
      </c>
      <c r="B76" s="29"/>
      <c r="C76" s="29"/>
      <c r="D76" s="29"/>
      <c r="E76" s="29"/>
      <c r="F76" s="29"/>
      <c r="G76" s="29" t="n">
        <v>1</v>
      </c>
      <c r="H76" s="29"/>
      <c r="I76" s="29"/>
      <c r="J76" s="29" t="n">
        <f aca="false">SUM(B76:I76)</f>
        <v>1</v>
      </c>
      <c r="K76" s="16" t="n">
        <v>1</v>
      </c>
      <c r="L76" s="40" t="s">
        <v>9</v>
      </c>
      <c r="M76" s="15" t="s">
        <v>176</v>
      </c>
    </row>
    <row r="77" customFormat="false" ht="15" hidden="false" customHeight="false" outlineLevel="0" collapsed="false">
      <c r="A77" s="35" t="s">
        <v>25</v>
      </c>
      <c r="B77" s="36" t="str">
        <f aca="false">IF(SUM(B78:B79)=0,"",SUM(B78:B79))</f>
        <v/>
      </c>
      <c r="C77" s="36" t="n">
        <f aca="false">IF(SUM(C78:C79)=0,"",SUM(C78:C79))</f>
        <v>1</v>
      </c>
      <c r="D77" s="36" t="n">
        <f aca="false">IF(SUM(D78:D79)=0,"",SUM(D78:D79))</f>
        <v>1</v>
      </c>
      <c r="E77" s="36" t="str">
        <f aca="false">IF(SUM(E78:E79)=0,"",SUM(E78:E79))</f>
        <v/>
      </c>
      <c r="F77" s="36" t="str">
        <f aca="false">IF(SUM(F78:F79)=0,"",SUM(F78:F79))</f>
        <v/>
      </c>
      <c r="G77" s="36" t="str">
        <f aca="false">IF(SUM(G78:G79)=0,"",SUM(G78:G79))</f>
        <v/>
      </c>
      <c r="H77" s="36" t="str">
        <f aca="false">IF(SUM(H78:H79)=0,"",SUM(H78:H79))</f>
        <v/>
      </c>
      <c r="I77" s="36" t="str">
        <f aca="false">IF(SUM(I78:I79)=0,"",SUM(I78:I79))</f>
        <v/>
      </c>
      <c r="J77" s="36" t="n">
        <f aca="false">IF(SUM(J78:J79)=0,"",SUM(J78:J79))</f>
        <v>2</v>
      </c>
      <c r="K77" s="37" t="n">
        <v>2</v>
      </c>
      <c r="L77" s="38" t="s">
        <v>9</v>
      </c>
      <c r="M77" s="39" t="s">
        <v>177</v>
      </c>
    </row>
    <row r="78" customFormat="false" ht="15" hidden="false" customHeight="false" outlineLevel="1" collapsed="false">
      <c r="A78" s="15" t="s">
        <v>178</v>
      </c>
      <c r="B78" s="29"/>
      <c r="C78" s="29"/>
      <c r="D78" s="29" t="n">
        <v>1</v>
      </c>
      <c r="E78" s="29"/>
      <c r="F78" s="29"/>
      <c r="G78" s="29"/>
      <c r="H78" s="29"/>
      <c r="I78" s="29"/>
      <c r="J78" s="29" t="n">
        <f aca="false">SUM(B78:I78)</f>
        <v>1</v>
      </c>
      <c r="K78" s="16" t="n">
        <v>1</v>
      </c>
      <c r="L78" s="40" t="s">
        <v>9</v>
      </c>
      <c r="M78" s="15" t="s">
        <v>179</v>
      </c>
    </row>
    <row r="79" customFormat="false" ht="15" hidden="false" customHeight="false" outlineLevel="1" collapsed="false">
      <c r="A79" s="15" t="s">
        <v>180</v>
      </c>
      <c r="B79" s="29"/>
      <c r="C79" s="29" t="n">
        <v>1</v>
      </c>
      <c r="D79" s="29"/>
      <c r="E79" s="29"/>
      <c r="F79" s="29"/>
      <c r="G79" s="29"/>
      <c r="H79" s="29"/>
      <c r="I79" s="29"/>
      <c r="J79" s="29" t="n">
        <f aca="false">SUM(B79:I79)</f>
        <v>1</v>
      </c>
      <c r="K79" s="16" t="n">
        <v>1</v>
      </c>
      <c r="L79" s="42" t="s">
        <v>11</v>
      </c>
      <c r="M79" s="15" t="s">
        <v>181</v>
      </c>
    </row>
    <row r="80" customFormat="false" ht="15" hidden="false" customHeight="false" outlineLevel="0" collapsed="false">
      <c r="A80" s="35" t="s">
        <v>17</v>
      </c>
      <c r="B80" s="36" t="str">
        <f aca="false">IF(SUM(B81:B81)=0,"",SUM(B81:B81))</f>
        <v/>
      </c>
      <c r="C80" s="36" t="str">
        <f aca="false">IF(SUM(C81:C81)=0,"",SUM(C81:C81))</f>
        <v/>
      </c>
      <c r="D80" s="36" t="n">
        <f aca="false">IF(SUM(D81:D81)=0,"",SUM(D81:D81))</f>
        <v>1</v>
      </c>
      <c r="E80" s="36" t="str">
        <f aca="false">IF(SUM(E81:E81)=0,"",SUM(E81:E81))</f>
        <v/>
      </c>
      <c r="F80" s="36" t="str">
        <f aca="false">IF(SUM(F81:F81)=0,"",SUM(F81:F81))</f>
        <v/>
      </c>
      <c r="G80" s="36" t="str">
        <f aca="false">IF(SUM(G81:G81)=0,"",SUM(G81:G81))</f>
        <v/>
      </c>
      <c r="H80" s="36" t="str">
        <f aca="false">IF(SUM(H81:H81)=0,"",SUM(H81:H81))</f>
        <v/>
      </c>
      <c r="I80" s="36" t="str">
        <f aca="false">IF(SUM(I81:I81)=0,"",SUM(I81:I81))</f>
        <v/>
      </c>
      <c r="J80" s="36" t="n">
        <f aca="false">IF(SUM(J81:J81)=0,"",SUM(J81:J81))</f>
        <v>1</v>
      </c>
      <c r="K80" s="37" t="n">
        <v>1</v>
      </c>
      <c r="L80" s="43" t="s">
        <v>11</v>
      </c>
      <c r="M80" s="39" t="s">
        <v>182</v>
      </c>
    </row>
    <row r="81" customFormat="false" ht="15" hidden="false" customHeight="false" outlineLevel="1" collapsed="false">
      <c r="A81" s="15" t="s">
        <v>97</v>
      </c>
      <c r="B81" s="29"/>
      <c r="C81" s="29"/>
      <c r="D81" s="29" t="n">
        <v>1</v>
      </c>
      <c r="E81" s="29"/>
      <c r="F81" s="29"/>
      <c r="G81" s="29"/>
      <c r="H81" s="29"/>
      <c r="I81" s="29"/>
      <c r="J81" s="29" t="n">
        <f aca="false">SUM(B81:I81)</f>
        <v>1</v>
      </c>
      <c r="K81" s="16" t="n">
        <v>1</v>
      </c>
      <c r="L81" s="42" t="s">
        <v>11</v>
      </c>
      <c r="M81" s="15" t="s">
        <v>182</v>
      </c>
    </row>
    <row r="82" customFormat="false" ht="15" hidden="false" customHeight="false" outlineLevel="0" collapsed="false">
      <c r="A82" s="35" t="s">
        <v>24</v>
      </c>
      <c r="B82" s="36" t="str">
        <f aca="false">IF(SUM(B83:B83)=0,"",SUM(B83:B83))</f>
        <v/>
      </c>
      <c r="C82" s="36" t="str">
        <f aca="false">IF(SUM(C83:C83)=0,"",SUM(C83:C83))</f>
        <v/>
      </c>
      <c r="D82" s="36" t="str">
        <f aca="false">IF(SUM(D83:D83)=0,"",SUM(D83:D83))</f>
        <v/>
      </c>
      <c r="E82" s="36" t="str">
        <f aca="false">IF(SUM(E83:E83)=0,"",SUM(E83:E83))</f>
        <v/>
      </c>
      <c r="F82" s="36" t="n">
        <f aca="false">IF(SUM(F83:F83)=0,"",SUM(F83:F83))</f>
        <v>1</v>
      </c>
      <c r="G82" s="36" t="str">
        <f aca="false">IF(SUM(G83:G83)=0,"",SUM(G83:G83))</f>
        <v/>
      </c>
      <c r="H82" s="36" t="str">
        <f aca="false">IF(SUM(H83:H83)=0,"",SUM(H83:H83))</f>
        <v/>
      </c>
      <c r="I82" s="36" t="str">
        <f aca="false">IF(SUM(I83:I83)=0,"",SUM(I83:I83))</f>
        <v/>
      </c>
      <c r="J82" s="36" t="n">
        <f aca="false">IF(SUM(J83:J83)=0,"",SUM(J83:J83))</f>
        <v>1</v>
      </c>
      <c r="K82" s="37" t="n">
        <v>1</v>
      </c>
      <c r="L82" s="46" t="s">
        <v>10</v>
      </c>
      <c r="M82" s="39" t="s">
        <v>183</v>
      </c>
    </row>
    <row r="83" customFormat="false" ht="15" hidden="false" customHeight="false" outlineLevel="1" collapsed="false">
      <c r="A83" s="15" t="s">
        <v>184</v>
      </c>
      <c r="B83" s="29"/>
      <c r="C83" s="29"/>
      <c r="D83" s="29"/>
      <c r="E83" s="29"/>
      <c r="F83" s="29" t="n">
        <v>1</v>
      </c>
      <c r="G83" s="29"/>
      <c r="H83" s="29"/>
      <c r="I83" s="29"/>
      <c r="J83" s="29" t="n">
        <f aca="false">SUM(B83:I83)</f>
        <v>1</v>
      </c>
      <c r="K83" s="16" t="n">
        <v>1</v>
      </c>
      <c r="L83" s="41" t="s">
        <v>10</v>
      </c>
      <c r="M83" s="15" t="s">
        <v>183</v>
      </c>
    </row>
  </sheetData>
  <conditionalFormatting sqref="B6:I83">
    <cfRule type="expression" priority="2" aboveAverage="0" equalAverage="0" bottom="0" percent="0" rank="0" text="" dxfId="3">
      <formula>AND(ISNUMBER(B6),B6&gt;=5000)</formula>
    </cfRule>
    <cfRule type="expression" priority="3" aboveAverage="0" equalAverage="0" bottom="0" percent="0" rank="0" text="" dxfId="4">
      <formula>AND(ISNUMBER(B6),B6&gt;=1000)</formula>
    </cfRule>
    <cfRule type="expression" priority="4" aboveAverage="0" equalAverage="0" bottom="0" percent="0" rank="0" text="" dxfId="5">
      <formula>AND(ISNUMBER(B6),B6&gt;=100)</formula>
    </cfRule>
    <cfRule type="expression" priority="5" aboveAverage="0" equalAverage="0" bottom="0" percent="0" rank="0" text="" dxfId="6">
      <formula>AND(ISNUMBER(B6),B6&gt;=1)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48"/>
    <col collapsed="false" customWidth="true" hidden="false" outlineLevel="0" max="10" min="10" style="0" width="28"/>
    <col collapsed="false" customWidth="true" hidden="false" outlineLevel="0" max="11" min="11" style="0" width="40"/>
    <col collapsed="false" customWidth="true" hidden="false" outlineLevel="0" max="12" min="12" style="0" width="38"/>
  </cols>
  <sheetData>
    <row r="1" customFormat="false" ht="23.85" hidden="false" customHeight="false" outlineLevel="0" collapsed="false">
      <c r="A1" s="3" t="s">
        <v>185</v>
      </c>
      <c r="B1" s="3" t="s">
        <v>5</v>
      </c>
      <c r="C1" s="3" t="s">
        <v>186</v>
      </c>
      <c r="D1" s="3" t="s">
        <v>187</v>
      </c>
      <c r="E1" s="3" t="s">
        <v>188</v>
      </c>
      <c r="F1" s="3" t="s">
        <v>189</v>
      </c>
      <c r="G1" s="3" t="s">
        <v>190</v>
      </c>
      <c r="H1" s="3" t="s">
        <v>191</v>
      </c>
      <c r="I1" s="3" t="s">
        <v>192</v>
      </c>
      <c r="J1" s="3" t="s">
        <v>193</v>
      </c>
      <c r="K1" s="3" t="s">
        <v>194</v>
      </c>
      <c r="L1" s="3" t="s">
        <v>195</v>
      </c>
    </row>
    <row r="2" customFormat="false" ht="23.85" hidden="false" customHeight="false" outlineLevel="0" collapsed="false">
      <c r="A2" s="4" t="s">
        <v>72</v>
      </c>
      <c r="B2" s="4" t="s">
        <v>23</v>
      </c>
      <c r="C2" s="4" t="s">
        <v>196</v>
      </c>
      <c r="D2" s="4" t="s">
        <v>197</v>
      </c>
      <c r="E2" s="4" t="s">
        <v>198</v>
      </c>
      <c r="F2" s="47" t="s">
        <v>9</v>
      </c>
      <c r="G2" s="4" t="s">
        <v>199</v>
      </c>
      <c r="H2" s="4" t="n">
        <v>943</v>
      </c>
      <c r="I2" s="48" t="s">
        <v>200</v>
      </c>
      <c r="J2" s="48" t="s">
        <v>201</v>
      </c>
      <c r="K2" s="48" t="s">
        <v>202</v>
      </c>
      <c r="L2" s="48" t="s">
        <v>203</v>
      </c>
    </row>
    <row r="3" customFormat="false" ht="23.85" hidden="false" customHeight="false" outlineLevel="0" collapsed="false">
      <c r="A3" s="4" t="s">
        <v>76</v>
      </c>
      <c r="B3" s="4" t="s">
        <v>23</v>
      </c>
      <c r="C3" s="4" t="s">
        <v>204</v>
      </c>
      <c r="D3" s="4" t="s">
        <v>205</v>
      </c>
      <c r="E3" s="4" t="s">
        <v>206</v>
      </c>
      <c r="F3" s="49" t="s">
        <v>11</v>
      </c>
      <c r="G3" s="4" t="s">
        <v>207</v>
      </c>
      <c r="H3" s="4" t="n">
        <v>629</v>
      </c>
      <c r="I3" s="48" t="s">
        <v>208</v>
      </c>
      <c r="J3" s="48" t="s">
        <v>209</v>
      </c>
      <c r="K3" s="48" t="s">
        <v>210</v>
      </c>
      <c r="L3" s="48" t="s">
        <v>211</v>
      </c>
    </row>
    <row r="4" customFormat="false" ht="23.85" hidden="false" customHeight="false" outlineLevel="0" collapsed="false">
      <c r="A4" s="4" t="s">
        <v>80</v>
      </c>
      <c r="B4" s="4" t="s">
        <v>23</v>
      </c>
      <c r="C4" s="4" t="s">
        <v>212</v>
      </c>
      <c r="D4" s="4" t="s">
        <v>213</v>
      </c>
      <c r="E4" s="4" t="s">
        <v>214</v>
      </c>
      <c r="F4" s="47" t="s">
        <v>9</v>
      </c>
      <c r="G4" s="4" t="s">
        <v>215</v>
      </c>
      <c r="H4" s="4" t="n">
        <v>273</v>
      </c>
      <c r="I4" s="48" t="s">
        <v>216</v>
      </c>
      <c r="J4" s="48" t="s">
        <v>217</v>
      </c>
      <c r="K4" s="48" t="s">
        <v>218</v>
      </c>
      <c r="L4" s="48" t="s">
        <v>219</v>
      </c>
    </row>
    <row r="5" customFormat="false" ht="23.85" hidden="false" customHeight="false" outlineLevel="0" collapsed="false">
      <c r="A5" s="4" t="s">
        <v>66</v>
      </c>
      <c r="B5" s="4" t="s">
        <v>23</v>
      </c>
      <c r="C5" s="4" t="s">
        <v>220</v>
      </c>
      <c r="D5" s="4" t="s">
        <v>221</v>
      </c>
      <c r="E5" s="4" t="s">
        <v>222</v>
      </c>
      <c r="F5" s="50" t="s">
        <v>10</v>
      </c>
      <c r="G5" s="4" t="s">
        <v>223</v>
      </c>
      <c r="H5" s="4" t="n">
        <v>1572</v>
      </c>
      <c r="I5" s="48" t="s">
        <v>224</v>
      </c>
      <c r="J5" s="48" t="s">
        <v>225</v>
      </c>
      <c r="K5" s="48" t="s">
        <v>226</v>
      </c>
      <c r="L5" s="48" t="s">
        <v>227</v>
      </c>
    </row>
    <row r="6" customFormat="false" ht="35.05" hidden="false" customHeight="false" outlineLevel="0" collapsed="false">
      <c r="A6" s="4" t="s">
        <v>228</v>
      </c>
      <c r="B6" s="4" t="s">
        <v>23</v>
      </c>
      <c r="C6" s="4" t="s">
        <v>229</v>
      </c>
      <c r="D6" s="4" t="s">
        <v>230</v>
      </c>
      <c r="E6" s="4" t="s">
        <v>214</v>
      </c>
      <c r="F6" s="47" t="s">
        <v>9</v>
      </c>
      <c r="G6" s="4" t="s">
        <v>231</v>
      </c>
      <c r="H6" s="4" t="n">
        <v>3775</v>
      </c>
      <c r="I6" s="48" t="s">
        <v>232</v>
      </c>
      <c r="J6" s="48" t="s">
        <v>233</v>
      </c>
      <c r="K6" s="48" t="s">
        <v>234</v>
      </c>
      <c r="L6" s="48" t="s">
        <v>235</v>
      </c>
    </row>
    <row r="7" customFormat="false" ht="23.85" hidden="false" customHeight="false" outlineLevel="0" collapsed="false">
      <c r="A7" s="4" t="s">
        <v>70</v>
      </c>
      <c r="B7" s="4" t="s">
        <v>23</v>
      </c>
      <c r="C7" s="4" t="s">
        <v>236</v>
      </c>
      <c r="D7" s="4" t="s">
        <v>237</v>
      </c>
      <c r="E7" s="4" t="s">
        <v>238</v>
      </c>
      <c r="F7" s="47" t="s">
        <v>9</v>
      </c>
      <c r="G7" s="4" t="s">
        <v>239</v>
      </c>
      <c r="H7" s="4" t="n">
        <v>1258</v>
      </c>
      <c r="I7" s="48" t="s">
        <v>240</v>
      </c>
      <c r="J7" s="48" t="s">
        <v>241</v>
      </c>
      <c r="K7" s="48" t="s">
        <v>242</v>
      </c>
      <c r="L7" s="48" t="s">
        <v>243</v>
      </c>
    </row>
    <row r="8" customFormat="false" ht="23.85" hidden="false" customHeight="false" outlineLevel="0" collapsed="false">
      <c r="A8" s="4" t="s">
        <v>78</v>
      </c>
      <c r="B8" s="4" t="s">
        <v>23</v>
      </c>
      <c r="C8" s="4" t="s">
        <v>244</v>
      </c>
      <c r="D8" s="4" t="s">
        <v>245</v>
      </c>
      <c r="E8" s="4" t="s">
        <v>206</v>
      </c>
      <c r="F8" s="49" t="s">
        <v>11</v>
      </c>
      <c r="G8" s="4" t="s">
        <v>215</v>
      </c>
      <c r="H8" s="4" t="n">
        <v>533</v>
      </c>
      <c r="I8" s="48" t="s">
        <v>246</v>
      </c>
      <c r="J8" s="48" t="s">
        <v>247</v>
      </c>
      <c r="K8" s="48" t="s">
        <v>248</v>
      </c>
      <c r="L8" s="48" t="s">
        <v>249</v>
      </c>
    </row>
    <row r="9" customFormat="false" ht="23.85" hidden="false" customHeight="false" outlineLevel="0" collapsed="false">
      <c r="A9" s="4" t="s">
        <v>68</v>
      </c>
      <c r="B9" s="4" t="s">
        <v>23</v>
      </c>
      <c r="C9" s="4" t="s">
        <v>250</v>
      </c>
      <c r="D9" s="4" t="s">
        <v>251</v>
      </c>
      <c r="E9" s="4" t="s">
        <v>222</v>
      </c>
      <c r="F9" s="49" t="s">
        <v>11</v>
      </c>
      <c r="G9" s="4" t="s">
        <v>223</v>
      </c>
      <c r="H9" s="4" t="n">
        <v>1435</v>
      </c>
      <c r="I9" s="48" t="s">
        <v>252</v>
      </c>
      <c r="J9" s="48" t="s">
        <v>253</v>
      </c>
      <c r="K9" s="48" t="s">
        <v>254</v>
      </c>
      <c r="L9" s="48" t="s">
        <v>255</v>
      </c>
    </row>
    <row r="10" customFormat="false" ht="23.85" hidden="false" customHeight="false" outlineLevel="0" collapsed="false">
      <c r="A10" s="4" t="s">
        <v>74</v>
      </c>
      <c r="B10" s="4" t="s">
        <v>23</v>
      </c>
      <c r="C10" s="4" t="s">
        <v>256</v>
      </c>
      <c r="D10" s="4" t="s">
        <v>257</v>
      </c>
      <c r="E10" s="4" t="s">
        <v>214</v>
      </c>
      <c r="F10" s="49" t="s">
        <v>11</v>
      </c>
      <c r="G10" s="4" t="s">
        <v>199</v>
      </c>
      <c r="H10" s="4" t="n">
        <v>943</v>
      </c>
      <c r="I10" s="48" t="s">
        <v>258</v>
      </c>
      <c r="J10" s="48" t="s">
        <v>259</v>
      </c>
      <c r="K10" s="48" t="s">
        <v>260</v>
      </c>
      <c r="L10" s="48" t="s">
        <v>261</v>
      </c>
    </row>
    <row r="11" customFormat="false" ht="23.85" hidden="false" customHeight="false" outlineLevel="0" collapsed="false">
      <c r="A11" s="4" t="s">
        <v>262</v>
      </c>
      <c r="B11" s="4" t="s">
        <v>23</v>
      </c>
      <c r="C11" s="4" t="s">
        <v>229</v>
      </c>
      <c r="D11" s="4" t="s">
        <v>263</v>
      </c>
      <c r="E11" s="4" t="s">
        <v>206</v>
      </c>
      <c r="F11" s="47" t="s">
        <v>9</v>
      </c>
      <c r="G11" s="4" t="s">
        <v>264</v>
      </c>
      <c r="H11" s="4" t="n">
        <v>62</v>
      </c>
      <c r="I11" s="48" t="s">
        <v>265</v>
      </c>
      <c r="J11" s="48" t="s">
        <v>266</v>
      </c>
      <c r="K11" s="48" t="s">
        <v>267</v>
      </c>
      <c r="L11" s="48" t="s">
        <v>268</v>
      </c>
    </row>
    <row r="12" customFormat="false" ht="23.85" hidden="false" customHeight="false" outlineLevel="0" collapsed="false">
      <c r="A12" s="4" t="s">
        <v>96</v>
      </c>
      <c r="B12" s="4" t="s">
        <v>19</v>
      </c>
      <c r="C12" s="4" t="s">
        <v>269</v>
      </c>
      <c r="D12" s="4" t="s">
        <v>270</v>
      </c>
      <c r="E12" s="4" t="s">
        <v>271</v>
      </c>
      <c r="F12" s="47" t="s">
        <v>9</v>
      </c>
      <c r="G12" s="4" t="s">
        <v>215</v>
      </c>
      <c r="H12" s="4" t="n">
        <v>476</v>
      </c>
      <c r="I12" s="48" t="s">
        <v>272</v>
      </c>
      <c r="J12" s="48" t="s">
        <v>273</v>
      </c>
      <c r="K12" s="48" t="s">
        <v>274</v>
      </c>
      <c r="L12" s="48" t="s">
        <v>275</v>
      </c>
    </row>
    <row r="13" customFormat="false" ht="15" hidden="false" customHeight="false" outlineLevel="0" collapsed="false">
      <c r="A13" s="4" t="s">
        <v>98</v>
      </c>
      <c r="B13" s="4" t="s">
        <v>19</v>
      </c>
      <c r="C13" s="4" t="s">
        <v>276</v>
      </c>
      <c r="D13" s="4" t="s">
        <v>277</v>
      </c>
      <c r="E13" s="4" t="s">
        <v>271</v>
      </c>
      <c r="F13" s="47" t="s">
        <v>9</v>
      </c>
      <c r="G13" s="4" t="s">
        <v>215</v>
      </c>
      <c r="H13" s="4" t="n">
        <v>476</v>
      </c>
      <c r="I13" s="48" t="s">
        <v>278</v>
      </c>
      <c r="J13" s="48" t="s">
        <v>279</v>
      </c>
      <c r="K13" s="48" t="s">
        <v>280</v>
      </c>
      <c r="L13" s="48" t="s">
        <v>281</v>
      </c>
    </row>
    <row r="14" customFormat="false" ht="15" hidden="false" customHeight="false" outlineLevel="0" collapsed="false">
      <c r="A14" s="4" t="s">
        <v>100</v>
      </c>
      <c r="B14" s="4" t="s">
        <v>19</v>
      </c>
      <c r="C14" s="4" t="s">
        <v>282</v>
      </c>
      <c r="D14" s="4" t="s">
        <v>283</v>
      </c>
      <c r="E14" s="4" t="s">
        <v>206</v>
      </c>
      <c r="F14" s="47" t="s">
        <v>9</v>
      </c>
      <c r="G14" s="4" t="s">
        <v>215</v>
      </c>
      <c r="H14" s="4" t="n">
        <v>476</v>
      </c>
      <c r="I14" s="48" t="s">
        <v>284</v>
      </c>
      <c r="J14" s="48" t="s">
        <v>285</v>
      </c>
      <c r="K14" s="48" t="s">
        <v>286</v>
      </c>
      <c r="L14" s="48" t="s">
        <v>287</v>
      </c>
    </row>
    <row r="15" customFormat="false" ht="23.85" hidden="false" customHeight="false" outlineLevel="0" collapsed="false">
      <c r="A15" s="4" t="s">
        <v>89</v>
      </c>
      <c r="B15" s="4" t="s">
        <v>19</v>
      </c>
      <c r="C15" s="4" t="s">
        <v>288</v>
      </c>
      <c r="D15" s="4" t="s">
        <v>289</v>
      </c>
      <c r="E15" s="4" t="s">
        <v>238</v>
      </c>
      <c r="F15" s="49" t="s">
        <v>11</v>
      </c>
      <c r="G15" s="4" t="s">
        <v>223</v>
      </c>
      <c r="H15" s="4" t="n">
        <v>2381</v>
      </c>
      <c r="I15" s="48" t="s">
        <v>290</v>
      </c>
      <c r="J15" s="48" t="s">
        <v>291</v>
      </c>
      <c r="K15" s="48" t="s">
        <v>292</v>
      </c>
      <c r="L15" s="48" t="s">
        <v>293</v>
      </c>
    </row>
    <row r="16" customFormat="false" ht="23.85" hidden="false" customHeight="false" outlineLevel="0" collapsed="false">
      <c r="A16" s="4" t="s">
        <v>91</v>
      </c>
      <c r="B16" s="4" t="s">
        <v>19</v>
      </c>
      <c r="C16" s="4" t="s">
        <v>294</v>
      </c>
      <c r="D16" s="4" t="s">
        <v>295</v>
      </c>
      <c r="E16" s="4" t="s">
        <v>214</v>
      </c>
      <c r="F16" s="50" t="s">
        <v>10</v>
      </c>
      <c r="G16" s="4" t="s">
        <v>223</v>
      </c>
      <c r="H16" s="4" t="n">
        <v>2381</v>
      </c>
      <c r="I16" s="48" t="s">
        <v>296</v>
      </c>
      <c r="J16" s="48" t="s">
        <v>297</v>
      </c>
      <c r="K16" s="48" t="s">
        <v>298</v>
      </c>
      <c r="L16" s="48" t="s">
        <v>299</v>
      </c>
    </row>
    <row r="17" customFormat="false" ht="23.85" hidden="false" customHeight="false" outlineLevel="0" collapsed="false">
      <c r="A17" s="4" t="s">
        <v>95</v>
      </c>
      <c r="B17" s="4" t="s">
        <v>19</v>
      </c>
      <c r="C17" s="4" t="s">
        <v>300</v>
      </c>
      <c r="D17" s="4" t="s">
        <v>301</v>
      </c>
      <c r="E17" s="4" t="s">
        <v>214</v>
      </c>
      <c r="F17" s="49" t="s">
        <v>11</v>
      </c>
      <c r="G17" s="4" t="s">
        <v>207</v>
      </c>
      <c r="H17" s="4" t="n">
        <v>952</v>
      </c>
      <c r="I17" s="48" t="s">
        <v>302</v>
      </c>
      <c r="J17" s="48" t="s">
        <v>303</v>
      </c>
      <c r="K17" s="48" t="s">
        <v>304</v>
      </c>
      <c r="L17" s="48" t="s">
        <v>305</v>
      </c>
    </row>
    <row r="18" customFormat="false" ht="23.85" hidden="false" customHeight="false" outlineLevel="0" collapsed="false">
      <c r="A18" s="4" t="s">
        <v>93</v>
      </c>
      <c r="B18" s="4" t="s">
        <v>19</v>
      </c>
      <c r="C18" s="4" t="s">
        <v>306</v>
      </c>
      <c r="D18" s="4" t="s">
        <v>307</v>
      </c>
      <c r="E18" s="4" t="s">
        <v>238</v>
      </c>
      <c r="F18" s="49" t="s">
        <v>11</v>
      </c>
      <c r="G18" s="4" t="s">
        <v>207</v>
      </c>
      <c r="H18" s="4" t="n">
        <v>952</v>
      </c>
      <c r="I18" s="48" t="s">
        <v>308</v>
      </c>
      <c r="J18" s="48" t="s">
        <v>309</v>
      </c>
      <c r="K18" s="48" t="s">
        <v>310</v>
      </c>
      <c r="L18" s="48" t="s">
        <v>311</v>
      </c>
    </row>
    <row r="19" customFormat="false" ht="15" hidden="false" customHeight="false" outlineLevel="0" collapsed="false">
      <c r="A19" s="4" t="s">
        <v>120</v>
      </c>
      <c r="B19" s="4" t="s">
        <v>20</v>
      </c>
      <c r="C19" s="4" t="s">
        <v>312</v>
      </c>
      <c r="D19" s="4" t="s">
        <v>205</v>
      </c>
      <c r="E19" s="4" t="s">
        <v>206</v>
      </c>
      <c r="F19" s="50" t="s">
        <v>10</v>
      </c>
      <c r="G19" s="4" t="s">
        <v>215</v>
      </c>
      <c r="H19" s="4" t="n">
        <v>339</v>
      </c>
      <c r="I19" s="48" t="s">
        <v>313</v>
      </c>
      <c r="J19" s="48" t="s">
        <v>314</v>
      </c>
      <c r="K19" s="48" t="s">
        <v>315</v>
      </c>
      <c r="L19" s="48" t="s">
        <v>316</v>
      </c>
    </row>
    <row r="20" customFormat="false" ht="23.85" hidden="false" customHeight="false" outlineLevel="0" collapsed="false">
      <c r="A20" s="4" t="s">
        <v>317</v>
      </c>
      <c r="B20" s="4" t="s">
        <v>20</v>
      </c>
      <c r="C20" s="4" t="s">
        <v>318</v>
      </c>
      <c r="D20" s="4" t="s">
        <v>237</v>
      </c>
      <c r="E20" s="4" t="s">
        <v>238</v>
      </c>
      <c r="F20" s="47" t="s">
        <v>9</v>
      </c>
      <c r="G20" s="4" t="s">
        <v>199</v>
      </c>
      <c r="H20" s="4" t="n">
        <v>1017</v>
      </c>
      <c r="I20" s="48" t="s">
        <v>319</v>
      </c>
      <c r="J20" s="48" t="s">
        <v>320</v>
      </c>
      <c r="K20" s="48" t="s">
        <v>321</v>
      </c>
      <c r="L20" s="48" t="s">
        <v>322</v>
      </c>
    </row>
    <row r="21" customFormat="false" ht="15" hidden="false" customHeight="false" outlineLevel="0" collapsed="false">
      <c r="A21" s="4" t="s">
        <v>323</v>
      </c>
      <c r="B21" s="4" t="s">
        <v>20</v>
      </c>
      <c r="C21" s="4" t="s">
        <v>318</v>
      </c>
      <c r="D21" s="4" t="s">
        <v>324</v>
      </c>
      <c r="E21" s="4" t="s">
        <v>206</v>
      </c>
      <c r="F21" s="49" t="s">
        <v>11</v>
      </c>
      <c r="G21" s="4" t="s">
        <v>215</v>
      </c>
      <c r="H21" s="4" t="n">
        <v>339</v>
      </c>
      <c r="I21" s="48" t="s">
        <v>325</v>
      </c>
      <c r="J21" s="48" t="s">
        <v>326</v>
      </c>
      <c r="K21" s="48" t="s">
        <v>327</v>
      </c>
      <c r="L21" s="48" t="s">
        <v>328</v>
      </c>
    </row>
    <row r="22" customFormat="false" ht="23.85" hidden="false" customHeight="false" outlineLevel="0" collapsed="false">
      <c r="A22" s="4" t="s">
        <v>82</v>
      </c>
      <c r="B22" s="4" t="s">
        <v>22</v>
      </c>
      <c r="C22" s="4" t="s">
        <v>196</v>
      </c>
      <c r="D22" s="4" t="s">
        <v>329</v>
      </c>
      <c r="E22" s="4" t="s">
        <v>198</v>
      </c>
      <c r="F22" s="50" t="s">
        <v>10</v>
      </c>
      <c r="G22" s="4" t="s">
        <v>223</v>
      </c>
      <c r="H22" s="4" t="n">
        <v>9079</v>
      </c>
      <c r="I22" s="48" t="s">
        <v>330</v>
      </c>
      <c r="J22" s="48" t="s">
        <v>331</v>
      </c>
      <c r="K22" s="48" t="s">
        <v>332</v>
      </c>
      <c r="L22" s="48" t="s">
        <v>333</v>
      </c>
    </row>
    <row r="23" customFormat="false" ht="23.85" hidden="false" customHeight="false" outlineLevel="0" collapsed="false">
      <c r="A23" s="4" t="s">
        <v>84</v>
      </c>
      <c r="B23" s="4" t="s">
        <v>22</v>
      </c>
      <c r="C23" s="4" t="s">
        <v>334</v>
      </c>
      <c r="D23" s="4" t="s">
        <v>335</v>
      </c>
      <c r="E23" s="4" t="s">
        <v>214</v>
      </c>
      <c r="F23" s="49" t="s">
        <v>11</v>
      </c>
      <c r="G23" s="4" t="s">
        <v>207</v>
      </c>
      <c r="H23" s="4" t="n">
        <v>1137</v>
      </c>
      <c r="I23" s="48" t="s">
        <v>336</v>
      </c>
      <c r="J23" s="48" t="s">
        <v>337</v>
      </c>
      <c r="K23" s="48" t="s">
        <v>338</v>
      </c>
      <c r="L23" s="48" t="s">
        <v>339</v>
      </c>
    </row>
    <row r="24" customFormat="false" ht="23.85" hidden="false" customHeight="false" outlineLevel="0" collapsed="false">
      <c r="A24" s="4" t="s">
        <v>86</v>
      </c>
      <c r="B24" s="4" t="s">
        <v>22</v>
      </c>
      <c r="C24" s="4" t="s">
        <v>269</v>
      </c>
      <c r="D24" s="4" t="s">
        <v>340</v>
      </c>
      <c r="E24" s="4" t="s">
        <v>222</v>
      </c>
      <c r="F24" s="49" t="s">
        <v>11</v>
      </c>
      <c r="G24" s="4" t="s">
        <v>207</v>
      </c>
      <c r="H24" s="4" t="n">
        <v>629</v>
      </c>
      <c r="I24" s="48" t="s">
        <v>341</v>
      </c>
      <c r="J24" s="48" t="s">
        <v>342</v>
      </c>
      <c r="K24" s="48" t="s">
        <v>343</v>
      </c>
      <c r="L24" s="48" t="s">
        <v>344</v>
      </c>
    </row>
    <row r="25" customFormat="false" ht="15" hidden="false" customHeight="false" outlineLevel="0" collapsed="false">
      <c r="A25" s="4" t="s">
        <v>115</v>
      </c>
      <c r="B25" s="4" t="s">
        <v>21</v>
      </c>
      <c r="C25" s="4" t="s">
        <v>345</v>
      </c>
      <c r="D25" s="4" t="s">
        <v>283</v>
      </c>
      <c r="E25" s="4" t="s">
        <v>206</v>
      </c>
      <c r="F25" s="49" t="s">
        <v>11</v>
      </c>
      <c r="G25" s="4" t="s">
        <v>215</v>
      </c>
      <c r="H25" s="4" t="n">
        <v>101</v>
      </c>
      <c r="I25" s="48" t="s">
        <v>346</v>
      </c>
      <c r="J25" s="48" t="s">
        <v>347</v>
      </c>
      <c r="K25" s="48" t="s">
        <v>348</v>
      </c>
      <c r="L25" s="48" t="s">
        <v>349</v>
      </c>
    </row>
    <row r="26" customFormat="false" ht="23.85" hidden="false" customHeight="false" outlineLevel="0" collapsed="false">
      <c r="A26" s="4" t="s">
        <v>110</v>
      </c>
      <c r="B26" s="4" t="s">
        <v>21</v>
      </c>
      <c r="C26" s="4" t="s">
        <v>350</v>
      </c>
      <c r="D26" s="4" t="s">
        <v>351</v>
      </c>
      <c r="E26" s="4" t="s">
        <v>352</v>
      </c>
      <c r="F26" s="51" t="s">
        <v>8</v>
      </c>
      <c r="G26" s="4" t="s">
        <v>223</v>
      </c>
      <c r="H26" s="4" t="n">
        <v>305</v>
      </c>
      <c r="I26" s="48" t="s">
        <v>353</v>
      </c>
      <c r="J26" s="48" t="s">
        <v>354</v>
      </c>
      <c r="K26" s="48" t="s">
        <v>355</v>
      </c>
      <c r="L26" s="48" t="s">
        <v>356</v>
      </c>
    </row>
    <row r="27" customFormat="false" ht="15" hidden="false" customHeight="false" outlineLevel="0" collapsed="false">
      <c r="A27" s="4" t="s">
        <v>113</v>
      </c>
      <c r="B27" s="4" t="s">
        <v>21</v>
      </c>
      <c r="C27" s="4" t="s">
        <v>229</v>
      </c>
      <c r="D27" s="4" t="s">
        <v>213</v>
      </c>
      <c r="E27" s="4" t="s">
        <v>214</v>
      </c>
      <c r="F27" s="49" t="s">
        <v>11</v>
      </c>
      <c r="G27" s="4" t="s">
        <v>207</v>
      </c>
      <c r="H27" s="4" t="n">
        <v>202</v>
      </c>
      <c r="I27" s="48" t="s">
        <v>357</v>
      </c>
      <c r="J27" s="48" t="s">
        <v>358</v>
      </c>
      <c r="K27" s="48" t="s">
        <v>359</v>
      </c>
      <c r="L27" s="48" t="s">
        <v>360</v>
      </c>
    </row>
    <row r="28" customFormat="false" ht="15" hidden="false" customHeight="false" outlineLevel="0" collapsed="false">
      <c r="A28" s="4" t="s">
        <v>112</v>
      </c>
      <c r="B28" s="4" t="s">
        <v>21</v>
      </c>
      <c r="C28" s="4" t="s">
        <v>361</v>
      </c>
      <c r="D28" s="4" t="s">
        <v>362</v>
      </c>
      <c r="E28" s="4" t="s">
        <v>198</v>
      </c>
      <c r="F28" s="47" t="s">
        <v>9</v>
      </c>
      <c r="G28" s="4" t="s">
        <v>207</v>
      </c>
      <c r="H28" s="4" t="n">
        <v>202</v>
      </c>
      <c r="I28" s="48" t="s">
        <v>363</v>
      </c>
      <c r="J28" s="48" t="s">
        <v>342</v>
      </c>
      <c r="K28" s="48" t="s">
        <v>364</v>
      </c>
      <c r="L28" s="48" t="s">
        <v>365</v>
      </c>
    </row>
    <row r="29" customFormat="false" ht="15" hidden="false" customHeight="false" outlineLevel="0" collapsed="false">
      <c r="A29" s="4" t="s">
        <v>108</v>
      </c>
      <c r="B29" s="4" t="s">
        <v>21</v>
      </c>
      <c r="C29" s="4" t="s">
        <v>269</v>
      </c>
      <c r="D29" s="4" t="s">
        <v>366</v>
      </c>
      <c r="E29" s="4" t="s">
        <v>222</v>
      </c>
      <c r="F29" s="49" t="s">
        <v>11</v>
      </c>
      <c r="G29" s="4" t="s">
        <v>367</v>
      </c>
      <c r="H29" s="4" t="n">
        <v>1014</v>
      </c>
      <c r="I29" s="48" t="s">
        <v>368</v>
      </c>
      <c r="J29" s="48" t="s">
        <v>342</v>
      </c>
      <c r="K29" s="48" t="s">
        <v>369</v>
      </c>
      <c r="L29" s="48" t="s">
        <v>370</v>
      </c>
    </row>
    <row r="30" customFormat="false" ht="23.85" hidden="false" customHeight="false" outlineLevel="0" collapsed="false">
      <c r="A30" s="4" t="s">
        <v>105</v>
      </c>
      <c r="B30" s="4" t="s">
        <v>13</v>
      </c>
      <c r="C30" s="4" t="s">
        <v>371</v>
      </c>
      <c r="D30" s="4" t="s">
        <v>295</v>
      </c>
      <c r="E30" s="4" t="s">
        <v>214</v>
      </c>
      <c r="F30" s="49" t="s">
        <v>11</v>
      </c>
      <c r="G30" s="4" t="s">
        <v>199</v>
      </c>
      <c r="H30" s="4" t="n">
        <v>943</v>
      </c>
      <c r="I30" s="48" t="s">
        <v>372</v>
      </c>
      <c r="J30" s="48" t="s">
        <v>373</v>
      </c>
      <c r="K30" s="48" t="s">
        <v>374</v>
      </c>
      <c r="L30" s="48" t="s">
        <v>375</v>
      </c>
    </row>
    <row r="31" customFormat="false" ht="15" hidden="false" customHeight="false" outlineLevel="0" collapsed="false">
      <c r="A31" s="4" t="s">
        <v>103</v>
      </c>
      <c r="B31" s="4" t="s">
        <v>13</v>
      </c>
      <c r="C31" s="4" t="s">
        <v>376</v>
      </c>
      <c r="D31" s="4" t="s">
        <v>377</v>
      </c>
      <c r="E31" s="4" t="s">
        <v>222</v>
      </c>
      <c r="F31" s="50" t="s">
        <v>10</v>
      </c>
      <c r="G31" s="4" t="s">
        <v>223</v>
      </c>
      <c r="H31" s="4" t="n">
        <v>1572</v>
      </c>
      <c r="I31" s="48" t="s">
        <v>378</v>
      </c>
      <c r="J31" s="48" t="s">
        <v>379</v>
      </c>
      <c r="K31" s="48" t="s">
        <v>380</v>
      </c>
      <c r="L31" s="48" t="s">
        <v>381</v>
      </c>
    </row>
    <row r="32" customFormat="false" ht="15" hidden="false" customHeight="false" outlineLevel="0" collapsed="false">
      <c r="A32" s="4" t="s">
        <v>106</v>
      </c>
      <c r="B32" s="4" t="s">
        <v>13</v>
      </c>
      <c r="C32" s="4" t="s">
        <v>196</v>
      </c>
      <c r="D32" s="4" t="s">
        <v>382</v>
      </c>
      <c r="E32" s="4" t="s">
        <v>198</v>
      </c>
      <c r="F32" s="50" t="s">
        <v>10</v>
      </c>
      <c r="G32" s="4" t="s">
        <v>207</v>
      </c>
      <c r="H32" s="4" t="n">
        <v>629</v>
      </c>
      <c r="I32" s="48" t="s">
        <v>383</v>
      </c>
      <c r="J32" s="48" t="s">
        <v>342</v>
      </c>
      <c r="K32" s="48" t="s">
        <v>384</v>
      </c>
      <c r="L32" s="48" t="s">
        <v>333</v>
      </c>
    </row>
    <row r="33" customFormat="false" ht="23.85" hidden="false" customHeight="false" outlineLevel="0" collapsed="false">
      <c r="A33" s="4" t="s">
        <v>172</v>
      </c>
      <c r="B33" s="4" t="s">
        <v>26</v>
      </c>
      <c r="C33" s="4" t="s">
        <v>294</v>
      </c>
      <c r="D33" s="4" t="s">
        <v>385</v>
      </c>
      <c r="E33" s="4" t="s">
        <v>198</v>
      </c>
      <c r="F33" s="47" t="s">
        <v>9</v>
      </c>
      <c r="G33" s="4" t="s">
        <v>386</v>
      </c>
      <c r="H33" s="4" t="n">
        <v>2</v>
      </c>
      <c r="I33" s="48" t="s">
        <v>387</v>
      </c>
      <c r="J33" s="48" t="s">
        <v>388</v>
      </c>
      <c r="K33" s="48" t="s">
        <v>389</v>
      </c>
      <c r="L33" s="48" t="s">
        <v>390</v>
      </c>
    </row>
    <row r="34" customFormat="false" ht="23.85" hidden="false" customHeight="false" outlineLevel="0" collapsed="false">
      <c r="A34" s="4" t="s">
        <v>167</v>
      </c>
      <c r="B34" s="4" t="s">
        <v>26</v>
      </c>
      <c r="C34" s="4" t="s">
        <v>391</v>
      </c>
      <c r="D34" s="4" t="s">
        <v>392</v>
      </c>
      <c r="E34" s="4" t="s">
        <v>214</v>
      </c>
      <c r="F34" s="49" t="s">
        <v>11</v>
      </c>
      <c r="G34" s="4" t="s">
        <v>393</v>
      </c>
      <c r="H34" s="4" t="n">
        <v>9</v>
      </c>
      <c r="I34" s="48" t="s">
        <v>394</v>
      </c>
      <c r="J34" s="48" t="s">
        <v>395</v>
      </c>
      <c r="K34" s="48" t="s">
        <v>396</v>
      </c>
      <c r="L34" s="48" t="s">
        <v>397</v>
      </c>
    </row>
    <row r="35" customFormat="false" ht="23.85" hidden="false" customHeight="false" outlineLevel="0" collapsed="false">
      <c r="A35" s="4" t="s">
        <v>171</v>
      </c>
      <c r="B35" s="4" t="s">
        <v>26</v>
      </c>
      <c r="C35" s="4" t="s">
        <v>398</v>
      </c>
      <c r="D35" s="4" t="s">
        <v>399</v>
      </c>
      <c r="E35" s="4" t="s">
        <v>222</v>
      </c>
      <c r="F35" s="49" t="s">
        <v>11</v>
      </c>
      <c r="G35" s="4" t="s">
        <v>386</v>
      </c>
      <c r="H35" s="4" t="n">
        <v>2</v>
      </c>
      <c r="I35" s="48" t="s">
        <v>400</v>
      </c>
      <c r="J35" s="48" t="s">
        <v>401</v>
      </c>
      <c r="K35" s="48" t="s">
        <v>402</v>
      </c>
      <c r="L35" s="48" t="s">
        <v>403</v>
      </c>
    </row>
    <row r="36" customFormat="false" ht="15" hidden="false" customHeight="false" outlineLevel="0" collapsed="false">
      <c r="A36" s="4" t="s">
        <v>176</v>
      </c>
      <c r="B36" s="4" t="s">
        <v>26</v>
      </c>
      <c r="C36" s="4" t="s">
        <v>404</v>
      </c>
      <c r="D36" s="4" t="s">
        <v>301</v>
      </c>
      <c r="E36" s="4" t="s">
        <v>238</v>
      </c>
      <c r="F36" s="47" t="s">
        <v>9</v>
      </c>
      <c r="G36" s="4" t="s">
        <v>405</v>
      </c>
      <c r="H36" s="4" t="n">
        <v>1</v>
      </c>
      <c r="I36" s="48" t="s">
        <v>406</v>
      </c>
      <c r="J36" s="48" t="s">
        <v>407</v>
      </c>
      <c r="K36" s="48" t="s">
        <v>408</v>
      </c>
      <c r="L36" s="48" t="s">
        <v>409</v>
      </c>
    </row>
    <row r="37" customFormat="false" ht="15" hidden="false" customHeight="false" outlineLevel="0" collapsed="false">
      <c r="A37" s="4" t="s">
        <v>174</v>
      </c>
      <c r="B37" s="4" t="s">
        <v>26</v>
      </c>
      <c r="C37" s="4" t="s">
        <v>410</v>
      </c>
      <c r="D37" s="4" t="s">
        <v>411</v>
      </c>
      <c r="E37" s="4" t="s">
        <v>206</v>
      </c>
      <c r="F37" s="50" t="s">
        <v>10</v>
      </c>
      <c r="G37" s="4" t="s">
        <v>386</v>
      </c>
      <c r="H37" s="4" t="n">
        <v>2</v>
      </c>
      <c r="I37" s="48" t="s">
        <v>412</v>
      </c>
      <c r="J37" s="48" t="s">
        <v>326</v>
      </c>
      <c r="K37" s="48" t="s">
        <v>413</v>
      </c>
      <c r="L37" s="48" t="s">
        <v>414</v>
      </c>
    </row>
    <row r="38" customFormat="false" ht="15" hidden="false" customHeight="false" outlineLevel="0" collapsed="false">
      <c r="A38" s="4" t="s">
        <v>169</v>
      </c>
      <c r="B38" s="4" t="s">
        <v>26</v>
      </c>
      <c r="C38" s="4" t="s">
        <v>415</v>
      </c>
      <c r="D38" s="4" t="s">
        <v>416</v>
      </c>
      <c r="E38" s="4" t="s">
        <v>214</v>
      </c>
      <c r="F38" s="50" t="s">
        <v>10</v>
      </c>
      <c r="G38" s="4" t="s">
        <v>417</v>
      </c>
      <c r="H38" s="4" t="n">
        <v>5</v>
      </c>
      <c r="I38" s="48" t="s">
        <v>418</v>
      </c>
      <c r="J38" s="48" t="s">
        <v>419</v>
      </c>
      <c r="K38" s="48" t="s">
        <v>420</v>
      </c>
      <c r="L38" s="48" t="s">
        <v>421</v>
      </c>
    </row>
    <row r="39" customFormat="false" ht="15" hidden="false" customHeight="false" outlineLevel="0" collapsed="false">
      <c r="A39" s="4" t="s">
        <v>179</v>
      </c>
      <c r="B39" s="4" t="s">
        <v>25</v>
      </c>
      <c r="C39" s="4" t="s">
        <v>422</v>
      </c>
      <c r="D39" s="4" t="s">
        <v>277</v>
      </c>
      <c r="E39" s="4" t="s">
        <v>271</v>
      </c>
      <c r="F39" s="47" t="s">
        <v>9</v>
      </c>
      <c r="G39" s="4" t="s">
        <v>405</v>
      </c>
      <c r="H39" s="4" t="n">
        <v>1</v>
      </c>
      <c r="I39" s="48" t="s">
        <v>423</v>
      </c>
      <c r="J39" s="48" t="s">
        <v>424</v>
      </c>
      <c r="K39" s="48" t="s">
        <v>425</v>
      </c>
      <c r="L39" s="48" t="s">
        <v>426</v>
      </c>
    </row>
    <row r="40" customFormat="false" ht="15" hidden="false" customHeight="false" outlineLevel="0" collapsed="false">
      <c r="A40" s="4" t="s">
        <v>181</v>
      </c>
      <c r="B40" s="4" t="s">
        <v>25</v>
      </c>
      <c r="C40" s="4" t="s">
        <v>427</v>
      </c>
      <c r="D40" s="4" t="s">
        <v>283</v>
      </c>
      <c r="E40" s="4" t="s">
        <v>206</v>
      </c>
      <c r="F40" s="49" t="s">
        <v>11</v>
      </c>
      <c r="G40" s="4" t="s">
        <v>405</v>
      </c>
      <c r="H40" s="4" t="n">
        <v>1</v>
      </c>
      <c r="I40" s="48" t="s">
        <v>428</v>
      </c>
      <c r="J40" s="48" t="s">
        <v>326</v>
      </c>
      <c r="K40" s="48" t="s">
        <v>429</v>
      </c>
      <c r="L40" s="48" t="s">
        <v>430</v>
      </c>
    </row>
    <row r="41" customFormat="false" ht="23.85" hidden="false" customHeight="false" outlineLevel="0" collapsed="false">
      <c r="A41" s="4" t="s">
        <v>183</v>
      </c>
      <c r="B41" s="4" t="s">
        <v>24</v>
      </c>
      <c r="C41" s="4" t="s">
        <v>431</v>
      </c>
      <c r="D41" s="4" t="s">
        <v>432</v>
      </c>
      <c r="E41" s="4" t="s">
        <v>214</v>
      </c>
      <c r="F41" s="50" t="s">
        <v>10</v>
      </c>
      <c r="G41" s="4" t="s">
        <v>433</v>
      </c>
      <c r="H41" s="4" t="n">
        <v>1</v>
      </c>
      <c r="I41" s="48" t="s">
        <v>434</v>
      </c>
      <c r="J41" s="48" t="s">
        <v>435</v>
      </c>
      <c r="K41" s="48" t="s">
        <v>436</v>
      </c>
      <c r="L41" s="48" t="s">
        <v>437</v>
      </c>
    </row>
    <row r="42" customFormat="false" ht="15" hidden="false" customHeight="false" outlineLevel="0" collapsed="false">
      <c r="A42" s="4" t="s">
        <v>126</v>
      </c>
      <c r="B42" s="4" t="s">
        <v>14</v>
      </c>
      <c r="C42" s="4" t="s">
        <v>438</v>
      </c>
      <c r="D42" s="4" t="s">
        <v>362</v>
      </c>
      <c r="E42" s="4" t="s">
        <v>198</v>
      </c>
      <c r="F42" s="47" t="s">
        <v>9</v>
      </c>
      <c r="G42" s="4" t="s">
        <v>439</v>
      </c>
      <c r="H42" s="4" t="n">
        <v>167</v>
      </c>
      <c r="I42" s="48" t="s">
        <v>440</v>
      </c>
      <c r="J42" s="48" t="s">
        <v>342</v>
      </c>
      <c r="K42" s="48" t="s">
        <v>441</v>
      </c>
      <c r="L42" s="48" t="s">
        <v>333</v>
      </c>
    </row>
    <row r="43" customFormat="false" ht="23.85" hidden="false" customHeight="false" outlineLevel="0" collapsed="false">
      <c r="A43" s="4" t="s">
        <v>124</v>
      </c>
      <c r="B43" s="4" t="s">
        <v>14</v>
      </c>
      <c r="C43" s="4" t="s">
        <v>282</v>
      </c>
      <c r="D43" s="4" t="s">
        <v>442</v>
      </c>
      <c r="E43" s="4" t="s">
        <v>206</v>
      </c>
      <c r="F43" s="47" t="s">
        <v>9</v>
      </c>
      <c r="G43" s="4" t="s">
        <v>215</v>
      </c>
      <c r="H43" s="4" t="n">
        <v>334</v>
      </c>
      <c r="I43" s="48" t="s">
        <v>443</v>
      </c>
      <c r="J43" s="48" t="s">
        <v>444</v>
      </c>
      <c r="K43" s="48" t="s">
        <v>286</v>
      </c>
      <c r="L43" s="48" t="s">
        <v>445</v>
      </c>
    </row>
    <row r="44" customFormat="false" ht="15" hidden="false" customHeight="false" outlineLevel="0" collapsed="false">
      <c r="A44" s="4" t="s">
        <v>129</v>
      </c>
      <c r="B44" s="4" t="s">
        <v>14</v>
      </c>
      <c r="C44" s="4" t="s">
        <v>446</v>
      </c>
      <c r="D44" s="4" t="s">
        <v>447</v>
      </c>
      <c r="E44" s="4" t="s">
        <v>222</v>
      </c>
      <c r="F44" s="49" t="s">
        <v>11</v>
      </c>
      <c r="G44" s="4" t="s">
        <v>367</v>
      </c>
      <c r="H44" s="4" t="n">
        <v>123</v>
      </c>
      <c r="I44" s="48" t="s">
        <v>448</v>
      </c>
      <c r="J44" s="48" t="s">
        <v>449</v>
      </c>
      <c r="K44" s="48" t="s">
        <v>450</v>
      </c>
      <c r="L44" s="48" t="s">
        <v>451</v>
      </c>
    </row>
    <row r="45" customFormat="false" ht="23.85" hidden="false" customHeight="false" outlineLevel="0" collapsed="false">
      <c r="A45" s="4" t="s">
        <v>123</v>
      </c>
      <c r="B45" s="4" t="s">
        <v>14</v>
      </c>
      <c r="C45" s="4" t="s">
        <v>452</v>
      </c>
      <c r="D45" s="4" t="s">
        <v>453</v>
      </c>
      <c r="E45" s="4" t="s">
        <v>454</v>
      </c>
      <c r="F45" s="49" t="s">
        <v>11</v>
      </c>
      <c r="G45" s="4" t="s">
        <v>207</v>
      </c>
      <c r="H45" s="4" t="n">
        <v>668</v>
      </c>
      <c r="I45" s="48" t="s">
        <v>455</v>
      </c>
      <c r="J45" s="48" t="s">
        <v>456</v>
      </c>
      <c r="K45" s="48" t="s">
        <v>457</v>
      </c>
      <c r="L45" s="48" t="s">
        <v>458</v>
      </c>
    </row>
    <row r="46" customFormat="false" ht="15" hidden="false" customHeight="false" outlineLevel="0" collapsed="false">
      <c r="A46" s="4" t="s">
        <v>127</v>
      </c>
      <c r="B46" s="4" t="s">
        <v>14</v>
      </c>
      <c r="C46" s="4" t="s">
        <v>276</v>
      </c>
      <c r="D46" s="4" t="s">
        <v>277</v>
      </c>
      <c r="E46" s="4" t="s">
        <v>271</v>
      </c>
      <c r="F46" s="47" t="s">
        <v>9</v>
      </c>
      <c r="G46" s="4" t="s">
        <v>439</v>
      </c>
      <c r="H46" s="4" t="n">
        <v>167</v>
      </c>
      <c r="I46" s="48" t="s">
        <v>459</v>
      </c>
      <c r="J46" s="48" t="s">
        <v>460</v>
      </c>
      <c r="K46" s="48" t="s">
        <v>425</v>
      </c>
      <c r="L46" s="48" t="s">
        <v>461</v>
      </c>
    </row>
    <row r="47" customFormat="false" ht="15" hidden="false" customHeight="false" outlineLevel="0" collapsed="false">
      <c r="A47" s="4" t="s">
        <v>138</v>
      </c>
      <c r="B47" s="4" t="s">
        <v>15</v>
      </c>
      <c r="C47" s="4" t="s">
        <v>462</v>
      </c>
      <c r="D47" s="4" t="s">
        <v>463</v>
      </c>
      <c r="E47" s="4" t="s">
        <v>214</v>
      </c>
      <c r="F47" s="47" t="s">
        <v>9</v>
      </c>
      <c r="G47" s="4" t="s">
        <v>215</v>
      </c>
      <c r="H47" s="4" t="n">
        <v>443</v>
      </c>
      <c r="I47" s="48" t="s">
        <v>464</v>
      </c>
      <c r="J47" s="48" t="s">
        <v>465</v>
      </c>
      <c r="K47" s="48" t="s">
        <v>464</v>
      </c>
      <c r="L47" s="48" t="s">
        <v>466</v>
      </c>
    </row>
    <row r="48" customFormat="false" ht="23.85" hidden="false" customHeight="false" outlineLevel="0" collapsed="false">
      <c r="A48" s="4" t="s">
        <v>141</v>
      </c>
      <c r="B48" s="4" t="s">
        <v>15</v>
      </c>
      <c r="C48" s="4" t="s">
        <v>467</v>
      </c>
      <c r="D48" s="4" t="s">
        <v>245</v>
      </c>
      <c r="E48" s="4" t="s">
        <v>206</v>
      </c>
      <c r="F48" s="47" t="s">
        <v>9</v>
      </c>
      <c r="G48" s="4" t="s">
        <v>439</v>
      </c>
      <c r="H48" s="4" t="n">
        <v>221</v>
      </c>
      <c r="I48" s="48" t="s">
        <v>468</v>
      </c>
      <c r="J48" s="48" t="s">
        <v>469</v>
      </c>
      <c r="K48" s="48" t="s">
        <v>470</v>
      </c>
      <c r="L48" s="48" t="s">
        <v>471</v>
      </c>
    </row>
    <row r="49" customFormat="false" ht="23.85" hidden="false" customHeight="false" outlineLevel="0" collapsed="false">
      <c r="A49" s="4" t="s">
        <v>143</v>
      </c>
      <c r="B49" s="4" t="s">
        <v>15</v>
      </c>
      <c r="C49" s="4" t="s">
        <v>472</v>
      </c>
      <c r="D49" s="4" t="s">
        <v>473</v>
      </c>
      <c r="E49" s="4" t="s">
        <v>222</v>
      </c>
      <c r="F49" s="49" t="s">
        <v>11</v>
      </c>
      <c r="G49" s="4" t="s">
        <v>474</v>
      </c>
      <c r="H49" s="4" t="n">
        <v>3</v>
      </c>
      <c r="I49" s="48" t="s">
        <v>475</v>
      </c>
      <c r="J49" s="48" t="s">
        <v>476</v>
      </c>
      <c r="K49" s="48" t="s">
        <v>477</v>
      </c>
      <c r="L49" s="48" t="s">
        <v>478</v>
      </c>
    </row>
    <row r="50" customFormat="false" ht="15" hidden="false" customHeight="false" outlineLevel="0" collapsed="false">
      <c r="A50" s="4" t="s">
        <v>139</v>
      </c>
      <c r="B50" s="4" t="s">
        <v>15</v>
      </c>
      <c r="C50" s="4" t="s">
        <v>196</v>
      </c>
      <c r="D50" s="4" t="s">
        <v>382</v>
      </c>
      <c r="E50" s="4" t="s">
        <v>198</v>
      </c>
      <c r="F50" s="49" t="s">
        <v>11</v>
      </c>
      <c r="G50" s="4" t="s">
        <v>439</v>
      </c>
      <c r="H50" s="4" t="n">
        <v>221</v>
      </c>
      <c r="I50" s="48" t="s">
        <v>479</v>
      </c>
      <c r="J50" s="48" t="s">
        <v>342</v>
      </c>
      <c r="K50" s="48" t="s">
        <v>480</v>
      </c>
      <c r="L50" s="48" t="s">
        <v>333</v>
      </c>
    </row>
    <row r="51" customFormat="false" ht="15" hidden="false" customHeight="false" outlineLevel="0" collapsed="false">
      <c r="A51" s="4" t="s">
        <v>158</v>
      </c>
      <c r="B51" s="4" t="s">
        <v>27</v>
      </c>
      <c r="C51" s="4" t="s">
        <v>481</v>
      </c>
      <c r="D51" s="4" t="s">
        <v>482</v>
      </c>
      <c r="E51" s="4" t="s">
        <v>206</v>
      </c>
      <c r="F51" s="49" t="s">
        <v>11</v>
      </c>
      <c r="G51" s="4" t="s">
        <v>367</v>
      </c>
      <c r="H51" s="4" t="n">
        <v>50</v>
      </c>
      <c r="I51" s="48" t="s">
        <v>483</v>
      </c>
      <c r="J51" s="48" t="s">
        <v>484</v>
      </c>
      <c r="K51" s="48" t="s">
        <v>485</v>
      </c>
      <c r="L51" s="48" t="s">
        <v>486</v>
      </c>
    </row>
    <row r="52" customFormat="false" ht="15" hidden="false" customHeight="false" outlineLevel="0" collapsed="false">
      <c r="A52" s="4" t="s">
        <v>487</v>
      </c>
      <c r="B52" s="4" t="s">
        <v>27</v>
      </c>
      <c r="C52" s="4" t="s">
        <v>488</v>
      </c>
      <c r="D52" s="4" t="s">
        <v>213</v>
      </c>
      <c r="E52" s="4" t="s">
        <v>214</v>
      </c>
      <c r="F52" s="49" t="s">
        <v>11</v>
      </c>
      <c r="G52" s="4" t="s">
        <v>223</v>
      </c>
      <c r="H52" s="4" t="n">
        <v>25</v>
      </c>
      <c r="I52" s="48" t="s">
        <v>489</v>
      </c>
      <c r="J52" s="48" t="s">
        <v>342</v>
      </c>
      <c r="K52" s="48" t="s">
        <v>490</v>
      </c>
      <c r="L52" s="48" t="s">
        <v>491</v>
      </c>
    </row>
    <row r="53" customFormat="false" ht="23.85" hidden="false" customHeight="false" outlineLevel="0" collapsed="false">
      <c r="A53" s="4" t="s">
        <v>492</v>
      </c>
      <c r="B53" s="4" t="s">
        <v>27</v>
      </c>
      <c r="C53" s="4" t="s">
        <v>488</v>
      </c>
      <c r="D53" s="4" t="s">
        <v>399</v>
      </c>
      <c r="E53" s="4" t="s">
        <v>222</v>
      </c>
      <c r="F53" s="49" t="s">
        <v>11</v>
      </c>
      <c r="G53" s="4" t="s">
        <v>223</v>
      </c>
      <c r="H53" s="4" t="n">
        <v>25</v>
      </c>
      <c r="I53" s="48" t="s">
        <v>493</v>
      </c>
      <c r="J53" s="48" t="s">
        <v>342</v>
      </c>
      <c r="K53" s="48" t="s">
        <v>494</v>
      </c>
      <c r="L53" s="48" t="s">
        <v>495</v>
      </c>
    </row>
    <row r="54" customFormat="false" ht="15" hidden="false" customHeight="false" outlineLevel="0" collapsed="false">
      <c r="A54" s="4" t="s">
        <v>163</v>
      </c>
      <c r="B54" s="4" t="s">
        <v>28</v>
      </c>
      <c r="C54" s="4" t="s">
        <v>496</v>
      </c>
      <c r="D54" s="4" t="s">
        <v>307</v>
      </c>
      <c r="E54" s="4" t="s">
        <v>238</v>
      </c>
      <c r="F54" s="50" t="s">
        <v>10</v>
      </c>
      <c r="G54" s="4" t="s">
        <v>367</v>
      </c>
      <c r="H54" s="4" t="n">
        <v>33</v>
      </c>
      <c r="I54" s="48" t="s">
        <v>497</v>
      </c>
      <c r="J54" s="48" t="s">
        <v>342</v>
      </c>
      <c r="K54" s="48" t="s">
        <v>498</v>
      </c>
      <c r="L54" s="48" t="s">
        <v>499</v>
      </c>
    </row>
    <row r="55" customFormat="false" ht="23.85" hidden="false" customHeight="false" outlineLevel="0" collapsed="false">
      <c r="A55" s="4" t="s">
        <v>182</v>
      </c>
      <c r="B55" s="4" t="s">
        <v>17</v>
      </c>
      <c r="C55" s="4" t="s">
        <v>276</v>
      </c>
      <c r="D55" s="4" t="s">
        <v>500</v>
      </c>
      <c r="E55" s="4" t="s">
        <v>271</v>
      </c>
      <c r="F55" s="49" t="s">
        <v>11</v>
      </c>
      <c r="G55" s="4" t="s">
        <v>405</v>
      </c>
      <c r="H55" s="4" t="n">
        <v>1</v>
      </c>
      <c r="I55" s="48" t="s">
        <v>501</v>
      </c>
      <c r="J55" s="48" t="s">
        <v>342</v>
      </c>
      <c r="K55" s="48" t="s">
        <v>502</v>
      </c>
      <c r="L55" s="48" t="s">
        <v>503</v>
      </c>
    </row>
    <row r="56" customFormat="false" ht="15" hidden="false" customHeight="false" outlineLevel="0" collapsed="false">
      <c r="A56" s="4" t="s">
        <v>134</v>
      </c>
      <c r="B56" s="4" t="s">
        <v>16</v>
      </c>
      <c r="C56" s="4" t="s">
        <v>504</v>
      </c>
      <c r="D56" s="4" t="s">
        <v>505</v>
      </c>
      <c r="E56" s="4" t="s">
        <v>214</v>
      </c>
      <c r="F56" s="50" t="s">
        <v>10</v>
      </c>
      <c r="G56" s="4" t="s">
        <v>215</v>
      </c>
      <c r="H56" s="4" t="n">
        <v>266</v>
      </c>
      <c r="I56" s="48" t="s">
        <v>506</v>
      </c>
      <c r="J56" s="48" t="s">
        <v>342</v>
      </c>
      <c r="K56" s="48" t="s">
        <v>506</v>
      </c>
      <c r="L56" s="48" t="s">
        <v>507</v>
      </c>
    </row>
    <row r="57" customFormat="false" ht="15" hidden="false" customHeight="false" outlineLevel="0" collapsed="false">
      <c r="A57" s="4" t="s">
        <v>132</v>
      </c>
      <c r="B57" s="4" t="s">
        <v>16</v>
      </c>
      <c r="C57" s="4" t="s">
        <v>508</v>
      </c>
      <c r="D57" s="4" t="s">
        <v>473</v>
      </c>
      <c r="E57" s="4" t="s">
        <v>222</v>
      </c>
      <c r="F57" s="50" t="s">
        <v>10</v>
      </c>
      <c r="G57" s="4" t="s">
        <v>207</v>
      </c>
      <c r="H57" s="4" t="n">
        <v>533</v>
      </c>
      <c r="I57" s="48" t="s">
        <v>509</v>
      </c>
      <c r="J57" s="48" t="s">
        <v>342</v>
      </c>
      <c r="K57" s="48" t="s">
        <v>510</v>
      </c>
      <c r="L57" s="48" t="s">
        <v>511</v>
      </c>
    </row>
    <row r="58" customFormat="false" ht="15" hidden="false" customHeight="false" outlineLevel="0" collapsed="false">
      <c r="A58" s="4" t="s">
        <v>135</v>
      </c>
      <c r="B58" s="4" t="s">
        <v>16</v>
      </c>
      <c r="C58" s="4" t="s">
        <v>196</v>
      </c>
      <c r="D58" s="4" t="s">
        <v>382</v>
      </c>
      <c r="E58" s="4" t="s">
        <v>198</v>
      </c>
      <c r="F58" s="50" t="s">
        <v>10</v>
      </c>
      <c r="G58" s="4" t="s">
        <v>439</v>
      </c>
      <c r="H58" s="4" t="n">
        <v>133</v>
      </c>
      <c r="I58" s="48" t="s">
        <v>512</v>
      </c>
      <c r="J58" s="48" t="s">
        <v>342</v>
      </c>
      <c r="K58" s="48" t="s">
        <v>513</v>
      </c>
      <c r="L58" s="48" t="s">
        <v>333</v>
      </c>
    </row>
    <row r="59" customFormat="false" ht="15" hidden="false" customHeight="false" outlineLevel="0" collapsed="false">
      <c r="A59" s="4" t="s">
        <v>162</v>
      </c>
      <c r="B59" s="4" t="s">
        <v>12</v>
      </c>
      <c r="C59" s="4" t="s">
        <v>514</v>
      </c>
      <c r="D59" s="4" t="s">
        <v>245</v>
      </c>
      <c r="E59" s="4" t="s">
        <v>206</v>
      </c>
      <c r="F59" s="49" t="s">
        <v>11</v>
      </c>
      <c r="G59" s="4" t="s">
        <v>439</v>
      </c>
      <c r="H59" s="4" t="n">
        <v>11</v>
      </c>
      <c r="I59" s="48" t="s">
        <v>515</v>
      </c>
      <c r="J59" s="48" t="s">
        <v>516</v>
      </c>
      <c r="K59" s="48" t="s">
        <v>517</v>
      </c>
      <c r="L59" s="48" t="s">
        <v>518</v>
      </c>
    </row>
    <row r="60" customFormat="false" ht="15" hidden="false" customHeight="false" outlineLevel="0" collapsed="false">
      <c r="A60" s="4" t="s">
        <v>160</v>
      </c>
      <c r="B60" s="4" t="s">
        <v>12</v>
      </c>
      <c r="C60" s="4" t="s">
        <v>504</v>
      </c>
      <c r="D60" s="4" t="s">
        <v>505</v>
      </c>
      <c r="E60" s="4" t="s">
        <v>214</v>
      </c>
      <c r="F60" s="50" t="s">
        <v>10</v>
      </c>
      <c r="G60" s="4" t="s">
        <v>215</v>
      </c>
      <c r="H60" s="4" t="n">
        <v>22</v>
      </c>
      <c r="I60" s="48" t="s">
        <v>506</v>
      </c>
      <c r="J60" s="48" t="s">
        <v>342</v>
      </c>
      <c r="K60" s="48" t="s">
        <v>506</v>
      </c>
      <c r="L60" s="48" t="s">
        <v>519</v>
      </c>
    </row>
    <row r="61" customFormat="false" ht="15" hidden="false" customHeight="false" outlineLevel="0" collapsed="false">
      <c r="A61" s="4" t="s">
        <v>150</v>
      </c>
      <c r="B61" s="4" t="s">
        <v>18</v>
      </c>
      <c r="C61" s="4" t="s">
        <v>520</v>
      </c>
      <c r="D61" s="4" t="s">
        <v>521</v>
      </c>
      <c r="E61" s="4" t="s">
        <v>206</v>
      </c>
      <c r="F61" s="49" t="s">
        <v>11</v>
      </c>
      <c r="G61" s="4" t="s">
        <v>367</v>
      </c>
      <c r="H61" s="4" t="n">
        <v>74</v>
      </c>
      <c r="I61" s="48" t="s">
        <v>522</v>
      </c>
      <c r="J61" s="48" t="s">
        <v>523</v>
      </c>
      <c r="K61" s="48" t="s">
        <v>524</v>
      </c>
      <c r="L61" s="48" t="s">
        <v>525</v>
      </c>
    </row>
    <row r="62" customFormat="false" ht="15" hidden="false" customHeight="false" outlineLevel="0" collapsed="false">
      <c r="A62" s="4" t="s">
        <v>146</v>
      </c>
      <c r="B62" s="4" t="s">
        <v>18</v>
      </c>
      <c r="C62" s="4" t="s">
        <v>526</v>
      </c>
      <c r="D62" s="4" t="s">
        <v>307</v>
      </c>
      <c r="E62" s="4" t="s">
        <v>238</v>
      </c>
      <c r="F62" s="50" t="s">
        <v>10</v>
      </c>
      <c r="G62" s="4" t="s">
        <v>527</v>
      </c>
      <c r="H62" s="4" t="n">
        <v>148</v>
      </c>
      <c r="I62" s="48" t="s">
        <v>528</v>
      </c>
      <c r="J62" s="48" t="s">
        <v>342</v>
      </c>
      <c r="K62" s="48" t="s">
        <v>529</v>
      </c>
      <c r="L62" s="48" t="s">
        <v>530</v>
      </c>
    </row>
    <row r="63" customFormat="false" ht="23.85" hidden="false" customHeight="false" outlineLevel="0" collapsed="false">
      <c r="A63" s="4" t="s">
        <v>151</v>
      </c>
      <c r="B63" s="4" t="s">
        <v>18</v>
      </c>
      <c r="C63" s="4" t="s">
        <v>196</v>
      </c>
      <c r="D63" s="4" t="s">
        <v>382</v>
      </c>
      <c r="E63" s="4" t="s">
        <v>198</v>
      </c>
      <c r="F63" s="50" t="s">
        <v>10</v>
      </c>
      <c r="G63" s="4" t="s">
        <v>223</v>
      </c>
      <c r="H63" s="4" t="n">
        <v>37</v>
      </c>
      <c r="I63" s="48" t="s">
        <v>531</v>
      </c>
      <c r="J63" s="48" t="s">
        <v>342</v>
      </c>
      <c r="K63" s="48" t="s">
        <v>532</v>
      </c>
      <c r="L63" s="48" t="s">
        <v>533</v>
      </c>
    </row>
    <row r="64" customFormat="false" ht="15" hidden="false" customHeight="false" outlineLevel="0" collapsed="false">
      <c r="A64" s="4" t="s">
        <v>148</v>
      </c>
      <c r="B64" s="4" t="s">
        <v>18</v>
      </c>
      <c r="C64" s="4" t="s">
        <v>534</v>
      </c>
      <c r="D64" s="4" t="s">
        <v>399</v>
      </c>
      <c r="E64" s="4" t="s">
        <v>222</v>
      </c>
      <c r="F64" s="50" t="s">
        <v>10</v>
      </c>
      <c r="G64" s="4" t="s">
        <v>527</v>
      </c>
      <c r="H64" s="4" t="n">
        <v>148</v>
      </c>
      <c r="I64" s="48" t="s">
        <v>535</v>
      </c>
      <c r="J64" s="48" t="s">
        <v>401</v>
      </c>
      <c r="K64" s="48" t="s">
        <v>536</v>
      </c>
      <c r="L64" s="48" t="s">
        <v>537</v>
      </c>
    </row>
    <row r="65" customFormat="false" ht="15" hidden="false" customHeight="false" outlineLevel="0" collapsed="false">
      <c r="A65" s="4" t="s">
        <v>153</v>
      </c>
      <c r="B65" s="4" t="s">
        <v>18</v>
      </c>
      <c r="C65" s="4" t="s">
        <v>538</v>
      </c>
      <c r="D65" s="4" t="s">
        <v>283</v>
      </c>
      <c r="E65" s="4" t="s">
        <v>206</v>
      </c>
      <c r="F65" s="50" t="s">
        <v>10</v>
      </c>
      <c r="G65" s="4" t="s">
        <v>215</v>
      </c>
      <c r="H65" s="4" t="n">
        <v>7</v>
      </c>
      <c r="I65" s="48" t="s">
        <v>539</v>
      </c>
      <c r="J65" s="48" t="s">
        <v>540</v>
      </c>
      <c r="K65" s="48" t="s">
        <v>541</v>
      </c>
      <c r="L65" s="48" t="s">
        <v>542</v>
      </c>
    </row>
  </sheetData>
  <autoFilter ref="A1:L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34"/>
    <col collapsed="false" customWidth="true" hidden="false" outlineLevel="0" max="4" min="4" style="0" width="25"/>
    <col collapsed="false" customWidth="true" hidden="false" outlineLevel="0" max="6" min="5" style="0" width="30"/>
  </cols>
  <sheetData>
    <row r="1" customFormat="false" ht="15" hidden="false" customHeight="false" outlineLevel="0" collapsed="false">
      <c r="A1" s="3" t="s">
        <v>185</v>
      </c>
      <c r="B1" s="3" t="s">
        <v>5</v>
      </c>
      <c r="C1" s="3" t="s">
        <v>543</v>
      </c>
      <c r="D1" s="3" t="s">
        <v>186</v>
      </c>
      <c r="E1" s="3" t="s">
        <v>544</v>
      </c>
      <c r="F1" s="3" t="s">
        <v>545</v>
      </c>
    </row>
    <row r="2" customFormat="false" ht="15" hidden="false" customHeight="false" outlineLevel="0" collapsed="false">
      <c r="A2" s="4" t="s">
        <v>76</v>
      </c>
      <c r="B2" s="4" t="s">
        <v>23</v>
      </c>
      <c r="C2" s="4" t="s">
        <v>546</v>
      </c>
      <c r="D2" s="4" t="s">
        <v>204</v>
      </c>
      <c r="E2" s="4" t="s">
        <v>547</v>
      </c>
      <c r="F2" s="4" t="s">
        <v>548</v>
      </c>
    </row>
    <row r="3" customFormat="false" ht="15" hidden="false" customHeight="false" outlineLevel="0" collapsed="false">
      <c r="A3" s="4" t="s">
        <v>76</v>
      </c>
      <c r="B3" s="4" t="s">
        <v>23</v>
      </c>
      <c r="C3" s="4" t="s">
        <v>549</v>
      </c>
      <c r="D3" s="4" t="s">
        <v>204</v>
      </c>
      <c r="E3" s="4" t="s">
        <v>547</v>
      </c>
      <c r="F3" s="4" t="s">
        <v>326</v>
      </c>
    </row>
    <row r="4" customFormat="false" ht="15" hidden="false" customHeight="false" outlineLevel="0" collapsed="false">
      <c r="A4" s="4" t="s">
        <v>76</v>
      </c>
      <c r="B4" s="4" t="s">
        <v>23</v>
      </c>
      <c r="C4" s="4" t="s">
        <v>550</v>
      </c>
      <c r="D4" s="4" t="s">
        <v>204</v>
      </c>
      <c r="E4" s="4" t="s">
        <v>547</v>
      </c>
      <c r="F4" s="4" t="s">
        <v>548</v>
      </c>
    </row>
    <row r="5" customFormat="false" ht="15" hidden="false" customHeight="false" outlineLevel="0" collapsed="false">
      <c r="A5" s="4" t="s">
        <v>80</v>
      </c>
      <c r="B5" s="4" t="s">
        <v>23</v>
      </c>
      <c r="C5" s="4" t="s">
        <v>551</v>
      </c>
      <c r="D5" s="4" t="s">
        <v>212</v>
      </c>
      <c r="E5" s="4" t="s">
        <v>552</v>
      </c>
      <c r="F5" s="4" t="s">
        <v>553</v>
      </c>
    </row>
    <row r="6" customFormat="false" ht="15" hidden="false" customHeight="false" outlineLevel="0" collapsed="false">
      <c r="A6" s="4" t="s">
        <v>80</v>
      </c>
      <c r="B6" s="4" t="s">
        <v>23</v>
      </c>
      <c r="C6" s="4" t="s">
        <v>554</v>
      </c>
      <c r="D6" s="4" t="s">
        <v>212</v>
      </c>
      <c r="E6" s="4" t="s">
        <v>555</v>
      </c>
      <c r="F6" s="4" t="s">
        <v>556</v>
      </c>
    </row>
    <row r="7" customFormat="false" ht="15" hidden="false" customHeight="false" outlineLevel="0" collapsed="false">
      <c r="A7" s="4" t="s">
        <v>80</v>
      </c>
      <c r="B7" s="4" t="s">
        <v>23</v>
      </c>
      <c r="C7" s="4" t="s">
        <v>557</v>
      </c>
      <c r="D7" s="4" t="s">
        <v>212</v>
      </c>
      <c r="E7" s="4" t="s">
        <v>558</v>
      </c>
      <c r="F7" s="4" t="s">
        <v>559</v>
      </c>
    </row>
    <row r="8" customFormat="false" ht="15" hidden="false" customHeight="false" outlineLevel="0" collapsed="false">
      <c r="A8" s="4" t="s">
        <v>66</v>
      </c>
      <c r="B8" s="4" t="s">
        <v>23</v>
      </c>
      <c r="C8" s="4" t="s">
        <v>560</v>
      </c>
      <c r="D8" s="4" t="s">
        <v>220</v>
      </c>
      <c r="E8" s="4" t="s">
        <v>561</v>
      </c>
      <c r="F8" s="4" t="s">
        <v>562</v>
      </c>
    </row>
    <row r="9" customFormat="false" ht="15" hidden="false" customHeight="false" outlineLevel="0" collapsed="false">
      <c r="A9" s="4" t="s">
        <v>66</v>
      </c>
      <c r="B9" s="4" t="s">
        <v>23</v>
      </c>
      <c r="C9" s="4" t="s">
        <v>563</v>
      </c>
      <c r="D9" s="4" t="s">
        <v>220</v>
      </c>
      <c r="E9" s="4" t="s">
        <v>564</v>
      </c>
      <c r="F9" s="4" t="s">
        <v>562</v>
      </c>
    </row>
    <row r="10" customFormat="false" ht="15" hidden="false" customHeight="false" outlineLevel="0" collapsed="false">
      <c r="A10" s="4" t="s">
        <v>66</v>
      </c>
      <c r="B10" s="4" t="s">
        <v>23</v>
      </c>
      <c r="C10" s="4" t="s">
        <v>565</v>
      </c>
      <c r="D10" s="4" t="s">
        <v>220</v>
      </c>
      <c r="E10" s="4" t="s">
        <v>566</v>
      </c>
      <c r="F10" s="4" t="s">
        <v>562</v>
      </c>
    </row>
    <row r="11" customFormat="false" ht="15" hidden="false" customHeight="false" outlineLevel="0" collapsed="false">
      <c r="A11" s="4" t="s">
        <v>228</v>
      </c>
      <c r="B11" s="4" t="s">
        <v>23</v>
      </c>
      <c r="C11" s="4" t="s">
        <v>567</v>
      </c>
      <c r="D11" s="4" t="s">
        <v>229</v>
      </c>
      <c r="E11" s="4" t="s">
        <v>568</v>
      </c>
      <c r="F11" s="4" t="s">
        <v>569</v>
      </c>
    </row>
    <row r="12" customFormat="false" ht="15" hidden="false" customHeight="false" outlineLevel="0" collapsed="false">
      <c r="A12" s="4" t="s">
        <v>228</v>
      </c>
      <c r="B12" s="4" t="s">
        <v>23</v>
      </c>
      <c r="C12" s="4" t="s">
        <v>570</v>
      </c>
      <c r="D12" s="4" t="s">
        <v>229</v>
      </c>
      <c r="E12" s="4" t="s">
        <v>571</v>
      </c>
      <c r="F12" s="4" t="s">
        <v>572</v>
      </c>
    </row>
    <row r="13" customFormat="false" ht="15" hidden="false" customHeight="false" outlineLevel="0" collapsed="false">
      <c r="A13" s="4" t="s">
        <v>228</v>
      </c>
      <c r="B13" s="4" t="s">
        <v>23</v>
      </c>
      <c r="C13" s="4" t="s">
        <v>573</v>
      </c>
      <c r="D13" s="4" t="s">
        <v>229</v>
      </c>
      <c r="E13" s="4" t="s">
        <v>574</v>
      </c>
      <c r="F13" s="4" t="s">
        <v>575</v>
      </c>
    </row>
    <row r="14" customFormat="false" ht="15" hidden="false" customHeight="false" outlineLevel="0" collapsed="false">
      <c r="A14" s="4" t="s">
        <v>70</v>
      </c>
      <c r="B14" s="4" t="s">
        <v>23</v>
      </c>
      <c r="C14" s="4" t="s">
        <v>576</v>
      </c>
      <c r="D14" s="4" t="s">
        <v>236</v>
      </c>
      <c r="E14" s="4" t="s">
        <v>577</v>
      </c>
      <c r="F14" s="4" t="s">
        <v>578</v>
      </c>
    </row>
    <row r="15" customFormat="false" ht="15" hidden="false" customHeight="false" outlineLevel="0" collapsed="false">
      <c r="A15" s="4" t="s">
        <v>70</v>
      </c>
      <c r="B15" s="4" t="s">
        <v>23</v>
      </c>
      <c r="C15" s="4" t="s">
        <v>579</v>
      </c>
      <c r="D15" s="4" t="s">
        <v>236</v>
      </c>
      <c r="E15" s="4" t="s">
        <v>580</v>
      </c>
      <c r="F15" s="4" t="s">
        <v>581</v>
      </c>
    </row>
    <row r="16" customFormat="false" ht="15" hidden="false" customHeight="false" outlineLevel="0" collapsed="false">
      <c r="A16" s="4" t="s">
        <v>70</v>
      </c>
      <c r="B16" s="4" t="s">
        <v>23</v>
      </c>
      <c r="C16" s="4" t="s">
        <v>582</v>
      </c>
      <c r="D16" s="4" t="s">
        <v>236</v>
      </c>
      <c r="E16" s="4" t="s">
        <v>583</v>
      </c>
      <c r="F16" s="4" t="s">
        <v>584</v>
      </c>
    </row>
    <row r="17" customFormat="false" ht="15" hidden="false" customHeight="false" outlineLevel="0" collapsed="false">
      <c r="A17" s="4" t="s">
        <v>78</v>
      </c>
      <c r="B17" s="4" t="s">
        <v>23</v>
      </c>
      <c r="C17" s="4" t="s">
        <v>585</v>
      </c>
      <c r="D17" s="4" t="s">
        <v>244</v>
      </c>
      <c r="E17" s="4" t="s">
        <v>586</v>
      </c>
      <c r="F17" s="4" t="s">
        <v>587</v>
      </c>
    </row>
    <row r="18" customFormat="false" ht="15" hidden="false" customHeight="false" outlineLevel="0" collapsed="false">
      <c r="A18" s="4" t="s">
        <v>78</v>
      </c>
      <c r="B18" s="4" t="s">
        <v>23</v>
      </c>
      <c r="C18" s="4" t="s">
        <v>588</v>
      </c>
      <c r="D18" s="4" t="s">
        <v>244</v>
      </c>
      <c r="E18" s="4" t="s">
        <v>589</v>
      </c>
      <c r="F18" s="4" t="s">
        <v>247</v>
      </c>
    </row>
    <row r="19" customFormat="false" ht="15" hidden="false" customHeight="false" outlineLevel="0" collapsed="false">
      <c r="A19" s="4" t="s">
        <v>78</v>
      </c>
      <c r="B19" s="4" t="s">
        <v>23</v>
      </c>
      <c r="C19" s="4" t="s">
        <v>590</v>
      </c>
      <c r="D19" s="4" t="s">
        <v>244</v>
      </c>
      <c r="E19" s="4" t="s">
        <v>589</v>
      </c>
      <c r="F19" s="4" t="s">
        <v>247</v>
      </c>
    </row>
    <row r="20" customFormat="false" ht="15" hidden="false" customHeight="false" outlineLevel="0" collapsed="false">
      <c r="A20" s="4" t="s">
        <v>68</v>
      </c>
      <c r="B20" s="4" t="s">
        <v>23</v>
      </c>
      <c r="C20" s="4" t="s">
        <v>591</v>
      </c>
      <c r="D20" s="4" t="s">
        <v>250</v>
      </c>
      <c r="E20" s="4" t="s">
        <v>592</v>
      </c>
      <c r="F20" s="4"/>
    </row>
    <row r="21" customFormat="false" ht="15" hidden="false" customHeight="false" outlineLevel="0" collapsed="false">
      <c r="A21" s="4" t="s">
        <v>68</v>
      </c>
      <c r="B21" s="4" t="s">
        <v>23</v>
      </c>
      <c r="C21" s="4" t="s">
        <v>593</v>
      </c>
      <c r="D21" s="4" t="s">
        <v>250</v>
      </c>
      <c r="E21" s="4" t="s">
        <v>592</v>
      </c>
      <c r="F21" s="4"/>
    </row>
    <row r="22" customFormat="false" ht="15" hidden="false" customHeight="false" outlineLevel="0" collapsed="false">
      <c r="A22" s="4" t="s">
        <v>68</v>
      </c>
      <c r="B22" s="4" t="s">
        <v>23</v>
      </c>
      <c r="C22" s="4" t="s">
        <v>594</v>
      </c>
      <c r="D22" s="4" t="s">
        <v>250</v>
      </c>
      <c r="E22" s="4" t="s">
        <v>595</v>
      </c>
      <c r="F22" s="4"/>
    </row>
    <row r="23" customFormat="false" ht="15" hidden="false" customHeight="false" outlineLevel="0" collapsed="false">
      <c r="A23" s="4" t="s">
        <v>74</v>
      </c>
      <c r="B23" s="4" t="s">
        <v>23</v>
      </c>
      <c r="C23" s="4" t="s">
        <v>596</v>
      </c>
      <c r="D23" s="4" t="s">
        <v>256</v>
      </c>
      <c r="E23" s="4" t="s">
        <v>597</v>
      </c>
      <c r="F23" s="4" t="s">
        <v>598</v>
      </c>
    </row>
    <row r="24" customFormat="false" ht="15" hidden="false" customHeight="false" outlineLevel="0" collapsed="false">
      <c r="A24" s="4" t="s">
        <v>74</v>
      </c>
      <c r="B24" s="4" t="s">
        <v>23</v>
      </c>
      <c r="C24" s="4" t="s">
        <v>599</v>
      </c>
      <c r="D24" s="4" t="s">
        <v>256</v>
      </c>
      <c r="E24" s="4" t="s">
        <v>600</v>
      </c>
      <c r="F24" s="4" t="s">
        <v>601</v>
      </c>
    </row>
    <row r="25" customFormat="false" ht="15" hidden="false" customHeight="false" outlineLevel="0" collapsed="false">
      <c r="A25" s="4" t="s">
        <v>74</v>
      </c>
      <c r="B25" s="4" t="s">
        <v>23</v>
      </c>
      <c r="C25" s="4" t="s">
        <v>602</v>
      </c>
      <c r="D25" s="4" t="s">
        <v>256</v>
      </c>
      <c r="E25" s="4" t="s">
        <v>603</v>
      </c>
      <c r="F25" s="4" t="s">
        <v>604</v>
      </c>
    </row>
    <row r="26" customFormat="false" ht="15" hidden="false" customHeight="false" outlineLevel="0" collapsed="false">
      <c r="A26" s="4" t="s">
        <v>262</v>
      </c>
      <c r="B26" s="4" t="s">
        <v>23</v>
      </c>
      <c r="C26" s="4" t="s">
        <v>605</v>
      </c>
      <c r="D26" s="4" t="s">
        <v>229</v>
      </c>
      <c r="E26" s="4" t="s">
        <v>606</v>
      </c>
      <c r="F26" s="4" t="s">
        <v>266</v>
      </c>
    </row>
    <row r="27" customFormat="false" ht="15" hidden="false" customHeight="false" outlineLevel="0" collapsed="false">
      <c r="A27" s="4" t="s">
        <v>262</v>
      </c>
      <c r="B27" s="4" t="s">
        <v>23</v>
      </c>
      <c r="C27" s="4" t="s">
        <v>607</v>
      </c>
      <c r="D27" s="4" t="s">
        <v>229</v>
      </c>
      <c r="E27" s="4" t="s">
        <v>608</v>
      </c>
      <c r="F27" s="4" t="s">
        <v>266</v>
      </c>
    </row>
    <row r="28" customFormat="false" ht="15" hidden="false" customHeight="false" outlineLevel="0" collapsed="false">
      <c r="A28" s="4" t="s">
        <v>262</v>
      </c>
      <c r="B28" s="4" t="s">
        <v>23</v>
      </c>
      <c r="C28" s="4" t="s">
        <v>609</v>
      </c>
      <c r="D28" s="4" t="s">
        <v>229</v>
      </c>
      <c r="E28" s="4" t="s">
        <v>610</v>
      </c>
      <c r="F28" s="4" t="s">
        <v>266</v>
      </c>
    </row>
    <row r="29" customFormat="false" ht="15" hidden="false" customHeight="false" outlineLevel="0" collapsed="false">
      <c r="A29" s="4" t="s">
        <v>96</v>
      </c>
      <c r="B29" s="4" t="s">
        <v>19</v>
      </c>
      <c r="C29" s="4" t="s">
        <v>611</v>
      </c>
      <c r="D29" s="4" t="s">
        <v>269</v>
      </c>
      <c r="E29" s="4" t="s">
        <v>612</v>
      </c>
      <c r="F29" s="4" t="s">
        <v>613</v>
      </c>
    </row>
    <row r="30" customFormat="false" ht="15" hidden="false" customHeight="false" outlineLevel="0" collapsed="false">
      <c r="A30" s="4" t="s">
        <v>96</v>
      </c>
      <c r="B30" s="4" t="s">
        <v>19</v>
      </c>
      <c r="C30" s="4" t="s">
        <v>614</v>
      </c>
      <c r="D30" s="4" t="s">
        <v>269</v>
      </c>
      <c r="E30" s="4" t="s">
        <v>615</v>
      </c>
      <c r="F30" s="4" t="s">
        <v>616</v>
      </c>
    </row>
    <row r="31" customFormat="false" ht="15" hidden="false" customHeight="false" outlineLevel="0" collapsed="false">
      <c r="A31" s="4" t="s">
        <v>96</v>
      </c>
      <c r="B31" s="4" t="s">
        <v>19</v>
      </c>
      <c r="C31" s="4" t="s">
        <v>617</v>
      </c>
      <c r="D31" s="4" t="s">
        <v>269</v>
      </c>
      <c r="E31" s="4" t="s">
        <v>618</v>
      </c>
      <c r="F31" s="4" t="s">
        <v>619</v>
      </c>
    </row>
    <row r="32" customFormat="false" ht="15" hidden="false" customHeight="false" outlineLevel="0" collapsed="false">
      <c r="A32" s="4" t="s">
        <v>98</v>
      </c>
      <c r="B32" s="4" t="s">
        <v>19</v>
      </c>
      <c r="C32" s="4" t="s">
        <v>620</v>
      </c>
      <c r="D32" s="4" t="s">
        <v>276</v>
      </c>
      <c r="E32" s="4" t="s">
        <v>621</v>
      </c>
      <c r="F32" s="4" t="s">
        <v>622</v>
      </c>
    </row>
    <row r="33" customFormat="false" ht="15" hidden="false" customHeight="false" outlineLevel="0" collapsed="false">
      <c r="A33" s="4" t="s">
        <v>98</v>
      </c>
      <c r="B33" s="4" t="s">
        <v>19</v>
      </c>
      <c r="C33" s="4" t="s">
        <v>623</v>
      </c>
      <c r="D33" s="4" t="s">
        <v>276</v>
      </c>
      <c r="E33" s="4" t="s">
        <v>624</v>
      </c>
      <c r="F33" s="4" t="s">
        <v>622</v>
      </c>
    </row>
    <row r="34" customFormat="false" ht="15" hidden="false" customHeight="false" outlineLevel="0" collapsed="false">
      <c r="A34" s="4" t="s">
        <v>98</v>
      </c>
      <c r="B34" s="4" t="s">
        <v>19</v>
      </c>
      <c r="C34" s="4" t="s">
        <v>625</v>
      </c>
      <c r="D34" s="4" t="s">
        <v>276</v>
      </c>
      <c r="E34" s="4" t="s">
        <v>626</v>
      </c>
      <c r="F34" s="4" t="s">
        <v>622</v>
      </c>
    </row>
    <row r="35" customFormat="false" ht="15" hidden="false" customHeight="false" outlineLevel="0" collapsed="false">
      <c r="A35" s="4" t="s">
        <v>100</v>
      </c>
      <c r="B35" s="4" t="s">
        <v>19</v>
      </c>
      <c r="C35" s="4" t="s">
        <v>627</v>
      </c>
      <c r="D35" s="4" t="s">
        <v>282</v>
      </c>
      <c r="E35" s="4" t="s">
        <v>628</v>
      </c>
      <c r="F35" s="4" t="s">
        <v>326</v>
      </c>
    </row>
    <row r="36" customFormat="false" ht="15" hidden="false" customHeight="false" outlineLevel="0" collapsed="false">
      <c r="A36" s="4" t="s">
        <v>100</v>
      </c>
      <c r="B36" s="4" t="s">
        <v>19</v>
      </c>
      <c r="C36" s="4" t="s">
        <v>629</v>
      </c>
      <c r="D36" s="4" t="s">
        <v>282</v>
      </c>
      <c r="E36" s="4" t="s">
        <v>630</v>
      </c>
      <c r="F36" s="4" t="s">
        <v>631</v>
      </c>
    </row>
    <row r="37" customFormat="false" ht="15" hidden="false" customHeight="false" outlineLevel="0" collapsed="false">
      <c r="A37" s="4" t="s">
        <v>100</v>
      </c>
      <c r="B37" s="4" t="s">
        <v>19</v>
      </c>
      <c r="C37" s="4" t="s">
        <v>632</v>
      </c>
      <c r="D37" s="4" t="s">
        <v>282</v>
      </c>
      <c r="E37" s="4" t="s">
        <v>628</v>
      </c>
      <c r="F37" s="4" t="s">
        <v>631</v>
      </c>
    </row>
    <row r="38" customFormat="false" ht="15" hidden="false" customHeight="false" outlineLevel="0" collapsed="false">
      <c r="A38" s="4" t="s">
        <v>89</v>
      </c>
      <c r="B38" s="4" t="s">
        <v>19</v>
      </c>
      <c r="C38" s="4" t="s">
        <v>633</v>
      </c>
      <c r="D38" s="4" t="s">
        <v>288</v>
      </c>
      <c r="E38" s="4" t="s">
        <v>634</v>
      </c>
      <c r="F38" s="4"/>
    </row>
    <row r="39" customFormat="false" ht="15" hidden="false" customHeight="false" outlineLevel="0" collapsed="false">
      <c r="A39" s="4" t="s">
        <v>89</v>
      </c>
      <c r="B39" s="4" t="s">
        <v>19</v>
      </c>
      <c r="C39" s="4" t="s">
        <v>635</v>
      </c>
      <c r="D39" s="4" t="s">
        <v>288</v>
      </c>
      <c r="E39" s="4" t="s">
        <v>636</v>
      </c>
      <c r="F39" s="4" t="s">
        <v>326</v>
      </c>
    </row>
    <row r="40" customFormat="false" ht="15" hidden="false" customHeight="false" outlineLevel="0" collapsed="false">
      <c r="A40" s="4" t="s">
        <v>89</v>
      </c>
      <c r="B40" s="4" t="s">
        <v>19</v>
      </c>
      <c r="C40" s="4" t="s">
        <v>637</v>
      </c>
      <c r="D40" s="4" t="s">
        <v>288</v>
      </c>
      <c r="E40" s="4" t="s">
        <v>638</v>
      </c>
      <c r="F40" s="4"/>
    </row>
    <row r="41" customFormat="false" ht="15" hidden="false" customHeight="false" outlineLevel="0" collapsed="false">
      <c r="A41" s="4" t="s">
        <v>91</v>
      </c>
      <c r="B41" s="4" t="s">
        <v>19</v>
      </c>
      <c r="C41" s="4" t="s">
        <v>639</v>
      </c>
      <c r="D41" s="4" t="s">
        <v>294</v>
      </c>
      <c r="E41" s="4" t="s">
        <v>640</v>
      </c>
      <c r="F41" s="4" t="s">
        <v>641</v>
      </c>
    </row>
    <row r="42" customFormat="false" ht="15" hidden="false" customHeight="false" outlineLevel="0" collapsed="false">
      <c r="A42" s="4" t="s">
        <v>91</v>
      </c>
      <c r="B42" s="4" t="s">
        <v>19</v>
      </c>
      <c r="C42" s="4" t="s">
        <v>642</v>
      </c>
      <c r="D42" s="4" t="s">
        <v>294</v>
      </c>
      <c r="E42" s="4" t="s">
        <v>643</v>
      </c>
      <c r="F42" s="4" t="s">
        <v>644</v>
      </c>
    </row>
    <row r="43" customFormat="false" ht="15" hidden="false" customHeight="false" outlineLevel="0" collapsed="false">
      <c r="A43" s="4" t="s">
        <v>91</v>
      </c>
      <c r="B43" s="4" t="s">
        <v>19</v>
      </c>
      <c r="C43" s="4" t="s">
        <v>645</v>
      </c>
      <c r="D43" s="4" t="s">
        <v>294</v>
      </c>
      <c r="E43" s="4" t="s">
        <v>646</v>
      </c>
      <c r="F43" s="4" t="s">
        <v>647</v>
      </c>
    </row>
    <row r="44" customFormat="false" ht="15" hidden="false" customHeight="false" outlineLevel="0" collapsed="false">
      <c r="A44" s="4" t="s">
        <v>95</v>
      </c>
      <c r="B44" s="4" t="s">
        <v>19</v>
      </c>
      <c r="C44" s="4" t="s">
        <v>648</v>
      </c>
      <c r="D44" s="4" t="s">
        <v>300</v>
      </c>
      <c r="E44" s="4" t="s">
        <v>649</v>
      </c>
      <c r="F44" s="4" t="s">
        <v>650</v>
      </c>
    </row>
    <row r="45" customFormat="false" ht="15" hidden="false" customHeight="false" outlineLevel="0" collapsed="false">
      <c r="A45" s="4" t="s">
        <v>95</v>
      </c>
      <c r="B45" s="4" t="s">
        <v>19</v>
      </c>
      <c r="C45" s="4" t="s">
        <v>651</v>
      </c>
      <c r="D45" s="4" t="s">
        <v>300</v>
      </c>
      <c r="E45" s="4" t="s">
        <v>652</v>
      </c>
      <c r="F45" s="4" t="s">
        <v>653</v>
      </c>
    </row>
    <row r="46" customFormat="false" ht="15" hidden="false" customHeight="false" outlineLevel="0" collapsed="false">
      <c r="A46" s="4" t="s">
        <v>95</v>
      </c>
      <c r="B46" s="4" t="s">
        <v>19</v>
      </c>
      <c r="C46" s="4" t="s">
        <v>654</v>
      </c>
      <c r="D46" s="4" t="s">
        <v>300</v>
      </c>
      <c r="E46" s="4" t="s">
        <v>655</v>
      </c>
      <c r="F46" s="4" t="s">
        <v>656</v>
      </c>
    </row>
    <row r="47" customFormat="false" ht="15" hidden="false" customHeight="false" outlineLevel="0" collapsed="false">
      <c r="A47" s="4" t="s">
        <v>93</v>
      </c>
      <c r="B47" s="4" t="s">
        <v>19</v>
      </c>
      <c r="C47" s="4" t="s">
        <v>657</v>
      </c>
      <c r="D47" s="4" t="s">
        <v>306</v>
      </c>
      <c r="E47" s="4" t="s">
        <v>658</v>
      </c>
      <c r="F47" s="4" t="s">
        <v>659</v>
      </c>
    </row>
    <row r="48" customFormat="false" ht="15" hidden="false" customHeight="false" outlineLevel="0" collapsed="false">
      <c r="A48" s="4" t="s">
        <v>93</v>
      </c>
      <c r="B48" s="4" t="s">
        <v>19</v>
      </c>
      <c r="C48" s="4" t="s">
        <v>660</v>
      </c>
      <c r="D48" s="4" t="s">
        <v>306</v>
      </c>
      <c r="E48" s="4" t="s">
        <v>661</v>
      </c>
      <c r="F48" s="4" t="s">
        <v>662</v>
      </c>
    </row>
    <row r="49" customFormat="false" ht="15" hidden="false" customHeight="false" outlineLevel="0" collapsed="false">
      <c r="A49" s="4" t="s">
        <v>93</v>
      </c>
      <c r="B49" s="4" t="s">
        <v>19</v>
      </c>
      <c r="C49" s="4" t="s">
        <v>663</v>
      </c>
      <c r="D49" s="4" t="s">
        <v>306</v>
      </c>
      <c r="E49" s="4" t="s">
        <v>664</v>
      </c>
      <c r="F49" s="4" t="s">
        <v>665</v>
      </c>
    </row>
    <row r="50" customFormat="false" ht="15" hidden="false" customHeight="false" outlineLevel="0" collapsed="false">
      <c r="A50" s="4" t="s">
        <v>120</v>
      </c>
      <c r="B50" s="4" t="s">
        <v>20</v>
      </c>
      <c r="C50" s="4" t="s">
        <v>666</v>
      </c>
      <c r="D50" s="4" t="s">
        <v>312</v>
      </c>
      <c r="E50" s="4" t="s">
        <v>667</v>
      </c>
      <c r="F50" s="4" t="s">
        <v>668</v>
      </c>
    </row>
    <row r="51" customFormat="false" ht="15" hidden="false" customHeight="false" outlineLevel="0" collapsed="false">
      <c r="A51" s="4" t="s">
        <v>120</v>
      </c>
      <c r="B51" s="4" t="s">
        <v>20</v>
      </c>
      <c r="C51" s="4" t="s">
        <v>669</v>
      </c>
      <c r="D51" s="4" t="s">
        <v>312</v>
      </c>
      <c r="E51" s="4" t="s">
        <v>670</v>
      </c>
      <c r="F51" s="4" t="s">
        <v>668</v>
      </c>
    </row>
    <row r="52" customFormat="false" ht="15" hidden="false" customHeight="false" outlineLevel="0" collapsed="false">
      <c r="A52" s="4" t="s">
        <v>120</v>
      </c>
      <c r="B52" s="4" t="s">
        <v>20</v>
      </c>
      <c r="C52" s="4" t="s">
        <v>671</v>
      </c>
      <c r="D52" s="4" t="s">
        <v>312</v>
      </c>
      <c r="E52" s="4" t="s">
        <v>672</v>
      </c>
      <c r="F52" s="4" t="s">
        <v>668</v>
      </c>
    </row>
    <row r="53" customFormat="false" ht="15" hidden="false" customHeight="false" outlineLevel="0" collapsed="false">
      <c r="A53" s="4" t="s">
        <v>317</v>
      </c>
      <c r="B53" s="4" t="s">
        <v>20</v>
      </c>
      <c r="C53" s="4" t="s">
        <v>673</v>
      </c>
      <c r="D53" s="4" t="s">
        <v>318</v>
      </c>
      <c r="E53" s="4" t="s">
        <v>674</v>
      </c>
      <c r="F53" s="4" t="s">
        <v>675</v>
      </c>
    </row>
    <row r="54" customFormat="false" ht="15" hidden="false" customHeight="false" outlineLevel="0" collapsed="false">
      <c r="A54" s="4" t="s">
        <v>317</v>
      </c>
      <c r="B54" s="4" t="s">
        <v>20</v>
      </c>
      <c r="C54" s="4" t="s">
        <v>676</v>
      </c>
      <c r="D54" s="4" t="s">
        <v>318</v>
      </c>
      <c r="E54" s="4" t="s">
        <v>677</v>
      </c>
      <c r="F54" s="4" t="s">
        <v>678</v>
      </c>
    </row>
    <row r="55" customFormat="false" ht="15" hidden="false" customHeight="false" outlineLevel="0" collapsed="false">
      <c r="A55" s="4" t="s">
        <v>317</v>
      </c>
      <c r="B55" s="4" t="s">
        <v>20</v>
      </c>
      <c r="C55" s="4" t="s">
        <v>679</v>
      </c>
      <c r="D55" s="4" t="s">
        <v>318</v>
      </c>
      <c r="E55" s="4" t="s">
        <v>680</v>
      </c>
      <c r="F55" s="4" t="s">
        <v>681</v>
      </c>
    </row>
    <row r="56" customFormat="false" ht="15" hidden="false" customHeight="false" outlineLevel="0" collapsed="false">
      <c r="A56" s="4" t="s">
        <v>323</v>
      </c>
      <c r="B56" s="4" t="s">
        <v>20</v>
      </c>
      <c r="C56" s="4" t="s">
        <v>682</v>
      </c>
      <c r="D56" s="4" t="s">
        <v>318</v>
      </c>
      <c r="E56" s="4" t="s">
        <v>683</v>
      </c>
      <c r="F56" s="4" t="s">
        <v>326</v>
      </c>
    </row>
    <row r="57" customFormat="false" ht="15" hidden="false" customHeight="false" outlineLevel="0" collapsed="false">
      <c r="A57" s="4" t="s">
        <v>323</v>
      </c>
      <c r="B57" s="4" t="s">
        <v>20</v>
      </c>
      <c r="C57" s="4" t="s">
        <v>684</v>
      </c>
      <c r="D57" s="4" t="s">
        <v>318</v>
      </c>
      <c r="E57" s="4" t="s">
        <v>685</v>
      </c>
      <c r="F57" s="4" t="s">
        <v>326</v>
      </c>
    </row>
    <row r="58" customFormat="false" ht="15" hidden="false" customHeight="false" outlineLevel="0" collapsed="false">
      <c r="A58" s="4" t="s">
        <v>323</v>
      </c>
      <c r="B58" s="4" t="s">
        <v>20</v>
      </c>
      <c r="C58" s="4" t="s">
        <v>686</v>
      </c>
      <c r="D58" s="4" t="s">
        <v>318</v>
      </c>
      <c r="E58" s="4" t="s">
        <v>687</v>
      </c>
      <c r="F58" s="4" t="s">
        <v>326</v>
      </c>
    </row>
    <row r="59" customFormat="false" ht="15" hidden="false" customHeight="false" outlineLevel="0" collapsed="false">
      <c r="A59" s="4" t="s">
        <v>84</v>
      </c>
      <c r="B59" s="4" t="s">
        <v>22</v>
      </c>
      <c r="C59" s="4" t="s">
        <v>688</v>
      </c>
      <c r="D59" s="4" t="s">
        <v>334</v>
      </c>
      <c r="E59" s="4" t="s">
        <v>689</v>
      </c>
      <c r="F59" s="4" t="s">
        <v>690</v>
      </c>
    </row>
    <row r="60" customFormat="false" ht="15" hidden="false" customHeight="false" outlineLevel="0" collapsed="false">
      <c r="A60" s="4" t="s">
        <v>84</v>
      </c>
      <c r="B60" s="4" t="s">
        <v>22</v>
      </c>
      <c r="C60" s="4" t="s">
        <v>691</v>
      </c>
      <c r="D60" s="4" t="s">
        <v>334</v>
      </c>
      <c r="E60" s="4" t="s">
        <v>692</v>
      </c>
      <c r="F60" s="4" t="s">
        <v>693</v>
      </c>
    </row>
    <row r="61" customFormat="false" ht="15" hidden="false" customHeight="false" outlineLevel="0" collapsed="false">
      <c r="A61" s="4" t="s">
        <v>84</v>
      </c>
      <c r="B61" s="4" t="s">
        <v>22</v>
      </c>
      <c r="C61" s="4" t="s">
        <v>694</v>
      </c>
      <c r="D61" s="4" t="s">
        <v>334</v>
      </c>
      <c r="E61" s="4" t="s">
        <v>695</v>
      </c>
      <c r="F61" s="4" t="s">
        <v>696</v>
      </c>
    </row>
    <row r="62" customFormat="false" ht="15" hidden="false" customHeight="false" outlineLevel="0" collapsed="false">
      <c r="A62" s="4" t="s">
        <v>86</v>
      </c>
      <c r="B62" s="4" t="s">
        <v>22</v>
      </c>
      <c r="C62" s="4" t="s">
        <v>697</v>
      </c>
      <c r="D62" s="4" t="s">
        <v>269</v>
      </c>
      <c r="E62" s="4"/>
      <c r="F62" s="4" t="s">
        <v>698</v>
      </c>
    </row>
    <row r="63" customFormat="false" ht="15" hidden="false" customHeight="false" outlineLevel="0" collapsed="false">
      <c r="A63" s="4" t="s">
        <v>86</v>
      </c>
      <c r="B63" s="4" t="s">
        <v>22</v>
      </c>
      <c r="C63" s="4" t="s">
        <v>699</v>
      </c>
      <c r="D63" s="4" t="s">
        <v>269</v>
      </c>
      <c r="E63" s="4"/>
      <c r="F63" s="4" t="s">
        <v>698</v>
      </c>
    </row>
    <row r="64" customFormat="false" ht="15" hidden="false" customHeight="false" outlineLevel="0" collapsed="false">
      <c r="A64" s="4" t="s">
        <v>86</v>
      </c>
      <c r="B64" s="4" t="s">
        <v>22</v>
      </c>
      <c r="C64" s="4" t="s">
        <v>700</v>
      </c>
      <c r="D64" s="4" t="s">
        <v>269</v>
      </c>
      <c r="E64" s="4"/>
      <c r="F64" s="4" t="s">
        <v>698</v>
      </c>
    </row>
    <row r="65" customFormat="false" ht="15" hidden="false" customHeight="false" outlineLevel="0" collapsed="false">
      <c r="A65" s="4" t="s">
        <v>82</v>
      </c>
      <c r="B65" s="4" t="s">
        <v>22</v>
      </c>
      <c r="C65" s="4" t="s">
        <v>701</v>
      </c>
      <c r="D65" s="4" t="s">
        <v>196</v>
      </c>
      <c r="E65" s="4"/>
      <c r="F65" s="4" t="s">
        <v>702</v>
      </c>
    </row>
    <row r="66" customFormat="false" ht="15" hidden="false" customHeight="false" outlineLevel="0" collapsed="false">
      <c r="A66" s="4" t="s">
        <v>82</v>
      </c>
      <c r="B66" s="4" t="s">
        <v>22</v>
      </c>
      <c r="C66" s="4" t="s">
        <v>703</v>
      </c>
      <c r="D66" s="4" t="s">
        <v>196</v>
      </c>
      <c r="E66" s="4"/>
      <c r="F66" s="4" t="s">
        <v>702</v>
      </c>
    </row>
    <row r="67" customFormat="false" ht="15" hidden="false" customHeight="false" outlineLevel="0" collapsed="false">
      <c r="A67" s="4" t="s">
        <v>82</v>
      </c>
      <c r="B67" s="4" t="s">
        <v>22</v>
      </c>
      <c r="C67" s="4" t="s">
        <v>704</v>
      </c>
      <c r="D67" s="4" t="s">
        <v>196</v>
      </c>
      <c r="E67" s="4"/>
      <c r="F67" s="4" t="s">
        <v>702</v>
      </c>
    </row>
    <row r="68" customFormat="false" ht="15" hidden="false" customHeight="false" outlineLevel="0" collapsed="false">
      <c r="A68" s="4" t="s">
        <v>115</v>
      </c>
      <c r="B68" s="4" t="s">
        <v>21</v>
      </c>
      <c r="C68" s="4" t="s">
        <v>705</v>
      </c>
      <c r="D68" s="4" t="s">
        <v>345</v>
      </c>
      <c r="E68" s="4" t="s">
        <v>706</v>
      </c>
      <c r="F68" s="4" t="s">
        <v>326</v>
      </c>
    </row>
    <row r="69" customFormat="false" ht="15" hidden="false" customHeight="false" outlineLevel="0" collapsed="false">
      <c r="A69" s="4" t="s">
        <v>115</v>
      </c>
      <c r="B69" s="4" t="s">
        <v>21</v>
      </c>
      <c r="C69" s="4" t="s">
        <v>707</v>
      </c>
      <c r="D69" s="4" t="s">
        <v>345</v>
      </c>
      <c r="E69" s="4" t="s">
        <v>630</v>
      </c>
      <c r="F69" s="4" t="s">
        <v>326</v>
      </c>
    </row>
    <row r="70" customFormat="false" ht="15" hidden="false" customHeight="false" outlineLevel="0" collapsed="false">
      <c r="A70" s="4" t="s">
        <v>115</v>
      </c>
      <c r="B70" s="4" t="s">
        <v>21</v>
      </c>
      <c r="C70" s="4" t="s">
        <v>708</v>
      </c>
      <c r="D70" s="4" t="s">
        <v>345</v>
      </c>
      <c r="E70" s="4" t="s">
        <v>709</v>
      </c>
      <c r="F70" s="4" t="s">
        <v>326</v>
      </c>
    </row>
    <row r="71" customFormat="false" ht="15" hidden="false" customHeight="false" outlineLevel="0" collapsed="false">
      <c r="A71" s="4" t="s">
        <v>110</v>
      </c>
      <c r="B71" s="4" t="s">
        <v>21</v>
      </c>
      <c r="C71" s="4" t="s">
        <v>710</v>
      </c>
      <c r="D71" s="4" t="s">
        <v>350</v>
      </c>
      <c r="E71" s="4" t="s">
        <v>711</v>
      </c>
      <c r="F71" s="4" t="s">
        <v>712</v>
      </c>
    </row>
    <row r="72" customFormat="false" ht="15" hidden="false" customHeight="false" outlineLevel="0" collapsed="false">
      <c r="A72" s="4" t="s">
        <v>110</v>
      </c>
      <c r="B72" s="4" t="s">
        <v>21</v>
      </c>
      <c r="C72" s="4" t="s">
        <v>713</v>
      </c>
      <c r="D72" s="4" t="s">
        <v>350</v>
      </c>
      <c r="E72" s="4" t="s">
        <v>714</v>
      </c>
      <c r="F72" s="4" t="s">
        <v>715</v>
      </c>
    </row>
    <row r="73" customFormat="false" ht="15" hidden="false" customHeight="false" outlineLevel="0" collapsed="false">
      <c r="A73" s="4" t="s">
        <v>110</v>
      </c>
      <c r="B73" s="4" t="s">
        <v>21</v>
      </c>
      <c r="C73" s="4" t="s">
        <v>716</v>
      </c>
      <c r="D73" s="4" t="s">
        <v>350</v>
      </c>
      <c r="E73" s="4" t="s">
        <v>717</v>
      </c>
      <c r="F73" s="4" t="s">
        <v>718</v>
      </c>
    </row>
    <row r="74" customFormat="false" ht="15" hidden="false" customHeight="false" outlineLevel="0" collapsed="false">
      <c r="A74" s="4" t="s">
        <v>113</v>
      </c>
      <c r="B74" s="4" t="s">
        <v>21</v>
      </c>
      <c r="C74" s="4" t="s">
        <v>719</v>
      </c>
      <c r="D74" s="4" t="s">
        <v>229</v>
      </c>
      <c r="E74" s="4" t="s">
        <v>720</v>
      </c>
      <c r="F74" s="4" t="s">
        <v>721</v>
      </c>
    </row>
    <row r="75" customFormat="false" ht="15" hidden="false" customHeight="false" outlineLevel="0" collapsed="false">
      <c r="A75" s="4" t="s">
        <v>113</v>
      </c>
      <c r="B75" s="4" t="s">
        <v>21</v>
      </c>
      <c r="C75" s="4" t="s">
        <v>722</v>
      </c>
      <c r="D75" s="4" t="s">
        <v>229</v>
      </c>
      <c r="E75" s="4" t="s">
        <v>723</v>
      </c>
      <c r="F75" s="4" t="s">
        <v>724</v>
      </c>
    </row>
    <row r="76" customFormat="false" ht="15" hidden="false" customHeight="false" outlineLevel="0" collapsed="false">
      <c r="A76" s="4" t="s">
        <v>113</v>
      </c>
      <c r="B76" s="4" t="s">
        <v>21</v>
      </c>
      <c r="C76" s="4" t="s">
        <v>725</v>
      </c>
      <c r="D76" s="4" t="s">
        <v>229</v>
      </c>
      <c r="E76" s="4" t="s">
        <v>726</v>
      </c>
      <c r="F76" s="4" t="s">
        <v>727</v>
      </c>
    </row>
    <row r="77" customFormat="false" ht="15" hidden="false" customHeight="false" outlineLevel="0" collapsed="false">
      <c r="A77" s="4" t="s">
        <v>108</v>
      </c>
      <c r="B77" s="4" t="s">
        <v>21</v>
      </c>
      <c r="C77" s="4" t="s">
        <v>728</v>
      </c>
      <c r="D77" s="4" t="s">
        <v>269</v>
      </c>
      <c r="E77" s="4" t="s">
        <v>729</v>
      </c>
      <c r="F77" s="4"/>
    </row>
    <row r="78" customFormat="false" ht="15" hidden="false" customHeight="false" outlineLevel="0" collapsed="false">
      <c r="A78" s="4" t="s">
        <v>108</v>
      </c>
      <c r="B78" s="4" t="s">
        <v>21</v>
      </c>
      <c r="C78" s="4" t="s">
        <v>730</v>
      </c>
      <c r="D78" s="4" t="s">
        <v>269</v>
      </c>
      <c r="E78" s="4" t="s">
        <v>731</v>
      </c>
      <c r="F78" s="4"/>
    </row>
    <row r="79" customFormat="false" ht="15" hidden="false" customHeight="false" outlineLevel="0" collapsed="false">
      <c r="A79" s="4" t="s">
        <v>108</v>
      </c>
      <c r="B79" s="4" t="s">
        <v>21</v>
      </c>
      <c r="C79" s="4" t="s">
        <v>732</v>
      </c>
      <c r="D79" s="4" t="s">
        <v>269</v>
      </c>
      <c r="E79" s="4" t="s">
        <v>733</v>
      </c>
      <c r="F79" s="4"/>
    </row>
    <row r="80" customFormat="false" ht="15" hidden="false" customHeight="false" outlineLevel="0" collapsed="false">
      <c r="A80" s="4" t="s">
        <v>112</v>
      </c>
      <c r="B80" s="4" t="s">
        <v>21</v>
      </c>
      <c r="C80" s="4" t="s">
        <v>734</v>
      </c>
      <c r="D80" s="4" t="s">
        <v>361</v>
      </c>
      <c r="E80" s="4"/>
      <c r="F80" s="4" t="s">
        <v>735</v>
      </c>
    </row>
    <row r="81" customFormat="false" ht="15" hidden="false" customHeight="false" outlineLevel="0" collapsed="false">
      <c r="A81" s="4" t="s">
        <v>112</v>
      </c>
      <c r="B81" s="4" t="s">
        <v>21</v>
      </c>
      <c r="C81" s="4" t="s">
        <v>736</v>
      </c>
      <c r="D81" s="4" t="s">
        <v>361</v>
      </c>
      <c r="E81" s="4"/>
      <c r="F81" s="4" t="s">
        <v>735</v>
      </c>
    </row>
    <row r="82" customFormat="false" ht="15" hidden="false" customHeight="false" outlineLevel="0" collapsed="false">
      <c r="A82" s="4" t="s">
        <v>112</v>
      </c>
      <c r="B82" s="4" t="s">
        <v>21</v>
      </c>
      <c r="C82" s="4" t="s">
        <v>737</v>
      </c>
      <c r="D82" s="4" t="s">
        <v>361</v>
      </c>
      <c r="E82" s="4"/>
      <c r="F82" s="4" t="s">
        <v>735</v>
      </c>
    </row>
    <row r="83" customFormat="false" ht="15" hidden="false" customHeight="false" outlineLevel="0" collapsed="false">
      <c r="A83" s="4" t="s">
        <v>105</v>
      </c>
      <c r="B83" s="4" t="s">
        <v>13</v>
      </c>
      <c r="C83" s="4" t="s">
        <v>738</v>
      </c>
      <c r="D83" s="4" t="s">
        <v>371</v>
      </c>
      <c r="E83" s="4" t="s">
        <v>739</v>
      </c>
      <c r="F83" s="4" t="s">
        <v>740</v>
      </c>
    </row>
    <row r="84" customFormat="false" ht="15" hidden="false" customHeight="false" outlineLevel="0" collapsed="false">
      <c r="A84" s="4" t="s">
        <v>105</v>
      </c>
      <c r="B84" s="4" t="s">
        <v>13</v>
      </c>
      <c r="C84" s="4" t="s">
        <v>741</v>
      </c>
      <c r="D84" s="4" t="s">
        <v>371</v>
      </c>
      <c r="E84" s="4" t="s">
        <v>742</v>
      </c>
      <c r="F84" s="4" t="s">
        <v>743</v>
      </c>
    </row>
    <row r="85" customFormat="false" ht="15" hidden="false" customHeight="false" outlineLevel="0" collapsed="false">
      <c r="A85" s="4" t="s">
        <v>105</v>
      </c>
      <c r="B85" s="4" t="s">
        <v>13</v>
      </c>
      <c r="C85" s="4" t="s">
        <v>744</v>
      </c>
      <c r="D85" s="4" t="s">
        <v>371</v>
      </c>
      <c r="E85" s="4" t="s">
        <v>745</v>
      </c>
      <c r="F85" s="4" t="s">
        <v>746</v>
      </c>
    </row>
    <row r="86" customFormat="false" ht="15" hidden="false" customHeight="false" outlineLevel="0" collapsed="false">
      <c r="A86" s="4" t="s">
        <v>103</v>
      </c>
      <c r="B86" s="4" t="s">
        <v>13</v>
      </c>
      <c r="C86" s="4" t="s">
        <v>747</v>
      </c>
      <c r="D86" s="4" t="s">
        <v>376</v>
      </c>
      <c r="E86" s="4" t="s">
        <v>748</v>
      </c>
      <c r="F86" s="4"/>
    </row>
    <row r="87" customFormat="false" ht="15" hidden="false" customHeight="false" outlineLevel="0" collapsed="false">
      <c r="A87" s="4" t="s">
        <v>103</v>
      </c>
      <c r="B87" s="4" t="s">
        <v>13</v>
      </c>
      <c r="C87" s="4" t="s">
        <v>749</v>
      </c>
      <c r="D87" s="4" t="s">
        <v>376</v>
      </c>
      <c r="E87" s="4" t="s">
        <v>750</v>
      </c>
      <c r="F87" s="4" t="s">
        <v>751</v>
      </c>
    </row>
    <row r="88" customFormat="false" ht="15" hidden="false" customHeight="false" outlineLevel="0" collapsed="false">
      <c r="A88" s="4" t="s">
        <v>103</v>
      </c>
      <c r="B88" s="4" t="s">
        <v>13</v>
      </c>
      <c r="C88" s="4" t="s">
        <v>752</v>
      </c>
      <c r="D88" s="4" t="s">
        <v>376</v>
      </c>
      <c r="E88" s="4" t="s">
        <v>748</v>
      </c>
      <c r="F88" s="4" t="s">
        <v>751</v>
      </c>
    </row>
    <row r="89" customFormat="false" ht="15" hidden="false" customHeight="false" outlineLevel="0" collapsed="false">
      <c r="A89" s="4" t="s">
        <v>106</v>
      </c>
      <c r="B89" s="4" t="s">
        <v>13</v>
      </c>
      <c r="C89" s="4" t="s">
        <v>753</v>
      </c>
      <c r="D89" s="4" t="s">
        <v>196</v>
      </c>
      <c r="E89" s="4"/>
      <c r="F89" s="4" t="s">
        <v>702</v>
      </c>
    </row>
    <row r="90" customFormat="false" ht="15" hidden="false" customHeight="false" outlineLevel="0" collapsed="false">
      <c r="A90" s="4" t="s">
        <v>106</v>
      </c>
      <c r="B90" s="4" t="s">
        <v>13</v>
      </c>
      <c r="C90" s="4" t="s">
        <v>754</v>
      </c>
      <c r="D90" s="4" t="s">
        <v>196</v>
      </c>
      <c r="E90" s="4"/>
      <c r="F90" s="4" t="s">
        <v>702</v>
      </c>
    </row>
    <row r="91" customFormat="false" ht="15" hidden="false" customHeight="false" outlineLevel="0" collapsed="false">
      <c r="A91" s="4" t="s">
        <v>106</v>
      </c>
      <c r="B91" s="4" t="s">
        <v>13</v>
      </c>
      <c r="C91" s="4" t="s">
        <v>755</v>
      </c>
      <c r="D91" s="4" t="s">
        <v>196</v>
      </c>
      <c r="E91" s="4"/>
      <c r="F91" s="4" t="s">
        <v>702</v>
      </c>
    </row>
    <row r="92" customFormat="false" ht="15" hidden="false" customHeight="false" outlineLevel="0" collapsed="false">
      <c r="A92" s="4" t="s">
        <v>172</v>
      </c>
      <c r="B92" s="4" t="s">
        <v>26</v>
      </c>
      <c r="C92" s="4" t="s">
        <v>756</v>
      </c>
      <c r="D92" s="4" t="s">
        <v>294</v>
      </c>
      <c r="E92" s="4"/>
      <c r="F92" s="4" t="s">
        <v>757</v>
      </c>
    </row>
    <row r="93" customFormat="false" ht="15" hidden="false" customHeight="false" outlineLevel="0" collapsed="false">
      <c r="A93" s="4" t="s">
        <v>172</v>
      </c>
      <c r="B93" s="4" t="s">
        <v>26</v>
      </c>
      <c r="C93" s="4" t="s">
        <v>758</v>
      </c>
      <c r="D93" s="4" t="s">
        <v>294</v>
      </c>
      <c r="E93" s="4"/>
      <c r="F93" s="4" t="s">
        <v>759</v>
      </c>
    </row>
    <row r="94" customFormat="false" ht="15" hidden="false" customHeight="false" outlineLevel="0" collapsed="false">
      <c r="A94" s="4" t="s">
        <v>167</v>
      </c>
      <c r="B94" s="4" t="s">
        <v>26</v>
      </c>
      <c r="C94" s="4" t="s">
        <v>760</v>
      </c>
      <c r="D94" s="4" t="s">
        <v>391</v>
      </c>
      <c r="E94" s="4" t="s">
        <v>761</v>
      </c>
      <c r="F94" s="4" t="s">
        <v>762</v>
      </c>
    </row>
    <row r="95" customFormat="false" ht="15" hidden="false" customHeight="false" outlineLevel="0" collapsed="false">
      <c r="A95" s="4" t="s">
        <v>167</v>
      </c>
      <c r="B95" s="4" t="s">
        <v>26</v>
      </c>
      <c r="C95" s="4" t="s">
        <v>763</v>
      </c>
      <c r="D95" s="4" t="s">
        <v>391</v>
      </c>
      <c r="E95" s="4" t="s">
        <v>764</v>
      </c>
      <c r="F95" s="4" t="s">
        <v>765</v>
      </c>
    </row>
    <row r="96" customFormat="false" ht="15" hidden="false" customHeight="false" outlineLevel="0" collapsed="false">
      <c r="A96" s="4" t="s">
        <v>167</v>
      </c>
      <c r="B96" s="4" t="s">
        <v>26</v>
      </c>
      <c r="C96" s="4" t="s">
        <v>766</v>
      </c>
      <c r="D96" s="4" t="s">
        <v>391</v>
      </c>
      <c r="E96" s="4" t="s">
        <v>764</v>
      </c>
      <c r="F96" s="4" t="s">
        <v>767</v>
      </c>
    </row>
    <row r="97" customFormat="false" ht="15" hidden="false" customHeight="false" outlineLevel="0" collapsed="false">
      <c r="A97" s="4" t="s">
        <v>171</v>
      </c>
      <c r="B97" s="4" t="s">
        <v>26</v>
      </c>
      <c r="C97" s="4" t="s">
        <v>768</v>
      </c>
      <c r="D97" s="4" t="s">
        <v>398</v>
      </c>
      <c r="E97" s="4" t="s">
        <v>769</v>
      </c>
      <c r="F97" s="4"/>
    </row>
    <row r="98" customFormat="false" ht="15" hidden="false" customHeight="false" outlineLevel="0" collapsed="false">
      <c r="A98" s="4" t="s">
        <v>171</v>
      </c>
      <c r="B98" s="4" t="s">
        <v>26</v>
      </c>
      <c r="C98" s="4" t="s">
        <v>770</v>
      </c>
      <c r="D98" s="4" t="s">
        <v>398</v>
      </c>
      <c r="E98" s="4" t="s">
        <v>771</v>
      </c>
      <c r="F98" s="4"/>
    </row>
    <row r="99" customFormat="false" ht="15" hidden="false" customHeight="false" outlineLevel="0" collapsed="false">
      <c r="A99" s="4" t="s">
        <v>176</v>
      </c>
      <c r="B99" s="4" t="s">
        <v>26</v>
      </c>
      <c r="C99" s="4" t="s">
        <v>772</v>
      </c>
      <c r="D99" s="4" t="s">
        <v>404</v>
      </c>
      <c r="E99" s="4" t="s">
        <v>773</v>
      </c>
      <c r="F99" s="4" t="s">
        <v>774</v>
      </c>
    </row>
    <row r="100" customFormat="false" ht="15" hidden="false" customHeight="false" outlineLevel="0" collapsed="false">
      <c r="A100" s="4" t="s">
        <v>174</v>
      </c>
      <c r="B100" s="4" t="s">
        <v>26</v>
      </c>
      <c r="C100" s="4" t="s">
        <v>775</v>
      </c>
      <c r="D100" s="4" t="s">
        <v>410</v>
      </c>
      <c r="E100" s="4" t="s">
        <v>776</v>
      </c>
      <c r="F100" s="4" t="s">
        <v>326</v>
      </c>
    </row>
    <row r="101" customFormat="false" ht="15" hidden="false" customHeight="false" outlineLevel="0" collapsed="false">
      <c r="A101" s="4" t="s">
        <v>174</v>
      </c>
      <c r="B101" s="4" t="s">
        <v>26</v>
      </c>
      <c r="C101" s="4" t="s">
        <v>777</v>
      </c>
      <c r="D101" s="4" t="s">
        <v>410</v>
      </c>
      <c r="E101" s="4" t="s">
        <v>778</v>
      </c>
      <c r="F101" s="4" t="s">
        <v>326</v>
      </c>
    </row>
    <row r="102" customFormat="false" ht="15" hidden="false" customHeight="false" outlineLevel="0" collapsed="false">
      <c r="A102" s="4" t="s">
        <v>169</v>
      </c>
      <c r="B102" s="4" t="s">
        <v>26</v>
      </c>
      <c r="C102" s="4" t="s">
        <v>779</v>
      </c>
      <c r="D102" s="4" t="s">
        <v>415</v>
      </c>
      <c r="E102" s="4" t="s">
        <v>780</v>
      </c>
      <c r="F102" s="4" t="s">
        <v>781</v>
      </c>
    </row>
    <row r="103" customFormat="false" ht="15" hidden="false" customHeight="false" outlineLevel="0" collapsed="false">
      <c r="A103" s="4" t="s">
        <v>169</v>
      </c>
      <c r="B103" s="4" t="s">
        <v>26</v>
      </c>
      <c r="C103" s="4" t="s">
        <v>782</v>
      </c>
      <c r="D103" s="4" t="s">
        <v>415</v>
      </c>
      <c r="E103" s="4" t="s">
        <v>783</v>
      </c>
      <c r="F103" s="4" t="s">
        <v>784</v>
      </c>
    </row>
    <row r="104" customFormat="false" ht="15" hidden="false" customHeight="false" outlineLevel="0" collapsed="false">
      <c r="A104" s="4" t="s">
        <v>169</v>
      </c>
      <c r="B104" s="4" t="s">
        <v>26</v>
      </c>
      <c r="C104" s="4" t="s">
        <v>785</v>
      </c>
      <c r="D104" s="4" t="s">
        <v>415</v>
      </c>
      <c r="E104" s="4" t="s">
        <v>786</v>
      </c>
      <c r="F104" s="4" t="s">
        <v>787</v>
      </c>
    </row>
    <row r="105" customFormat="false" ht="15" hidden="false" customHeight="false" outlineLevel="0" collapsed="false">
      <c r="A105" s="4" t="s">
        <v>179</v>
      </c>
      <c r="B105" s="4" t="s">
        <v>25</v>
      </c>
      <c r="C105" s="4" t="s">
        <v>788</v>
      </c>
      <c r="D105" s="4" t="s">
        <v>422</v>
      </c>
      <c r="E105" s="4" t="s">
        <v>789</v>
      </c>
      <c r="F105" s="4" t="s">
        <v>424</v>
      </c>
    </row>
    <row r="106" customFormat="false" ht="15" hidden="false" customHeight="false" outlineLevel="0" collapsed="false">
      <c r="A106" s="4" t="s">
        <v>181</v>
      </c>
      <c r="B106" s="4" t="s">
        <v>25</v>
      </c>
      <c r="C106" s="4" t="s">
        <v>790</v>
      </c>
      <c r="D106" s="4" t="s">
        <v>427</v>
      </c>
      <c r="E106" s="4" t="s">
        <v>628</v>
      </c>
      <c r="F106" s="4" t="s">
        <v>326</v>
      </c>
    </row>
    <row r="107" customFormat="false" ht="15" hidden="false" customHeight="false" outlineLevel="0" collapsed="false">
      <c r="A107" s="4" t="s">
        <v>183</v>
      </c>
      <c r="B107" s="4" t="s">
        <v>24</v>
      </c>
      <c r="C107" s="4" t="s">
        <v>791</v>
      </c>
      <c r="D107" s="4" t="s">
        <v>431</v>
      </c>
      <c r="E107" s="4" t="s">
        <v>792</v>
      </c>
      <c r="F107" s="4" t="s">
        <v>793</v>
      </c>
    </row>
    <row r="108" customFormat="false" ht="15" hidden="false" customHeight="false" outlineLevel="0" collapsed="false">
      <c r="A108" s="4" t="s">
        <v>124</v>
      </c>
      <c r="B108" s="4" t="s">
        <v>14</v>
      </c>
      <c r="C108" s="4" t="s">
        <v>794</v>
      </c>
      <c r="D108" s="4" t="s">
        <v>282</v>
      </c>
      <c r="E108" s="4" t="s">
        <v>630</v>
      </c>
      <c r="F108" s="4" t="s">
        <v>469</v>
      </c>
    </row>
    <row r="109" customFormat="false" ht="15" hidden="false" customHeight="false" outlineLevel="0" collapsed="false">
      <c r="A109" s="4" t="s">
        <v>124</v>
      </c>
      <c r="B109" s="4" t="s">
        <v>14</v>
      </c>
      <c r="C109" s="4" t="s">
        <v>795</v>
      </c>
      <c r="D109" s="4" t="s">
        <v>282</v>
      </c>
      <c r="E109" s="4" t="s">
        <v>628</v>
      </c>
      <c r="F109" s="4" t="s">
        <v>631</v>
      </c>
    </row>
    <row r="110" customFormat="false" ht="15" hidden="false" customHeight="false" outlineLevel="0" collapsed="false">
      <c r="A110" s="4" t="s">
        <v>124</v>
      </c>
      <c r="B110" s="4" t="s">
        <v>14</v>
      </c>
      <c r="C110" s="4" t="s">
        <v>796</v>
      </c>
      <c r="D110" s="4" t="s">
        <v>282</v>
      </c>
      <c r="E110" s="4" t="s">
        <v>706</v>
      </c>
      <c r="F110" s="4" t="s">
        <v>444</v>
      </c>
    </row>
    <row r="111" customFormat="false" ht="15" hidden="false" customHeight="false" outlineLevel="0" collapsed="false">
      <c r="A111" s="4" t="s">
        <v>129</v>
      </c>
      <c r="B111" s="4" t="s">
        <v>14</v>
      </c>
      <c r="C111" s="4" t="s">
        <v>797</v>
      </c>
      <c r="D111" s="4" t="s">
        <v>446</v>
      </c>
      <c r="E111" s="4" t="s">
        <v>798</v>
      </c>
      <c r="F111" s="4"/>
    </row>
    <row r="112" customFormat="false" ht="15" hidden="false" customHeight="false" outlineLevel="0" collapsed="false">
      <c r="A112" s="4" t="s">
        <v>129</v>
      </c>
      <c r="B112" s="4" t="s">
        <v>14</v>
      </c>
      <c r="C112" s="4" t="s">
        <v>799</v>
      </c>
      <c r="D112" s="4" t="s">
        <v>446</v>
      </c>
      <c r="E112" s="4" t="s">
        <v>798</v>
      </c>
      <c r="F112" s="4"/>
    </row>
    <row r="113" customFormat="false" ht="15" hidden="false" customHeight="false" outlineLevel="0" collapsed="false">
      <c r="A113" s="4" t="s">
        <v>129</v>
      </c>
      <c r="B113" s="4" t="s">
        <v>14</v>
      </c>
      <c r="C113" s="4" t="s">
        <v>800</v>
      </c>
      <c r="D113" s="4" t="s">
        <v>446</v>
      </c>
      <c r="E113" s="4" t="s">
        <v>798</v>
      </c>
      <c r="F113" s="4"/>
    </row>
    <row r="114" customFormat="false" ht="15" hidden="false" customHeight="false" outlineLevel="0" collapsed="false">
      <c r="A114" s="4" t="s">
        <v>123</v>
      </c>
      <c r="B114" s="4" t="s">
        <v>14</v>
      </c>
      <c r="C114" s="4" t="s">
        <v>801</v>
      </c>
      <c r="D114" s="4" t="s">
        <v>452</v>
      </c>
      <c r="E114" s="4" t="s">
        <v>802</v>
      </c>
      <c r="F114" s="4" t="s">
        <v>803</v>
      </c>
    </row>
    <row r="115" customFormat="false" ht="15" hidden="false" customHeight="false" outlineLevel="0" collapsed="false">
      <c r="A115" s="4" t="s">
        <v>123</v>
      </c>
      <c r="B115" s="4" t="s">
        <v>14</v>
      </c>
      <c r="C115" s="4" t="s">
        <v>804</v>
      </c>
      <c r="D115" s="4" t="s">
        <v>452</v>
      </c>
      <c r="E115" s="4" t="s">
        <v>805</v>
      </c>
      <c r="F115" s="4" t="s">
        <v>806</v>
      </c>
    </row>
    <row r="116" customFormat="false" ht="15" hidden="false" customHeight="false" outlineLevel="0" collapsed="false">
      <c r="A116" s="4" t="s">
        <v>123</v>
      </c>
      <c r="B116" s="4" t="s">
        <v>14</v>
      </c>
      <c r="C116" s="4" t="s">
        <v>807</v>
      </c>
      <c r="D116" s="4" t="s">
        <v>452</v>
      </c>
      <c r="E116" s="4" t="s">
        <v>808</v>
      </c>
      <c r="F116" s="4" t="s">
        <v>809</v>
      </c>
    </row>
    <row r="117" customFormat="false" ht="15" hidden="false" customHeight="false" outlineLevel="0" collapsed="false">
      <c r="A117" s="4" t="s">
        <v>127</v>
      </c>
      <c r="B117" s="4" t="s">
        <v>14</v>
      </c>
      <c r="C117" s="4" t="s">
        <v>810</v>
      </c>
      <c r="D117" s="4" t="s">
        <v>276</v>
      </c>
      <c r="E117" s="4" t="s">
        <v>811</v>
      </c>
      <c r="F117" s="4" t="s">
        <v>460</v>
      </c>
    </row>
    <row r="118" customFormat="false" ht="15" hidden="false" customHeight="false" outlineLevel="0" collapsed="false">
      <c r="A118" s="4" t="s">
        <v>127</v>
      </c>
      <c r="B118" s="4" t="s">
        <v>14</v>
      </c>
      <c r="C118" s="4" t="s">
        <v>812</v>
      </c>
      <c r="D118" s="4" t="s">
        <v>276</v>
      </c>
      <c r="E118" s="4" t="s">
        <v>813</v>
      </c>
      <c r="F118" s="4" t="s">
        <v>460</v>
      </c>
    </row>
    <row r="119" customFormat="false" ht="15" hidden="false" customHeight="false" outlineLevel="0" collapsed="false">
      <c r="A119" s="4" t="s">
        <v>127</v>
      </c>
      <c r="B119" s="4" t="s">
        <v>14</v>
      </c>
      <c r="C119" s="4" t="s">
        <v>814</v>
      </c>
      <c r="D119" s="4" t="s">
        <v>276</v>
      </c>
      <c r="E119" s="4" t="s">
        <v>815</v>
      </c>
      <c r="F119" s="4" t="s">
        <v>460</v>
      </c>
    </row>
    <row r="120" customFormat="false" ht="15" hidden="false" customHeight="false" outlineLevel="0" collapsed="false">
      <c r="A120" s="4" t="s">
        <v>126</v>
      </c>
      <c r="B120" s="4" t="s">
        <v>14</v>
      </c>
      <c r="C120" s="4" t="s">
        <v>816</v>
      </c>
      <c r="D120" s="4" t="s">
        <v>196</v>
      </c>
      <c r="E120" s="4"/>
      <c r="F120" s="4" t="s">
        <v>702</v>
      </c>
    </row>
    <row r="121" customFormat="false" ht="15" hidden="false" customHeight="false" outlineLevel="0" collapsed="false">
      <c r="A121" s="4" t="s">
        <v>126</v>
      </c>
      <c r="B121" s="4" t="s">
        <v>14</v>
      </c>
      <c r="C121" s="4" t="s">
        <v>817</v>
      </c>
      <c r="D121" s="4" t="s">
        <v>196</v>
      </c>
      <c r="E121" s="4"/>
      <c r="F121" s="4" t="s">
        <v>702</v>
      </c>
    </row>
    <row r="122" customFormat="false" ht="15" hidden="false" customHeight="false" outlineLevel="0" collapsed="false">
      <c r="A122" s="4" t="s">
        <v>126</v>
      </c>
      <c r="B122" s="4" t="s">
        <v>14</v>
      </c>
      <c r="C122" s="4" t="s">
        <v>818</v>
      </c>
      <c r="D122" s="4" t="s">
        <v>196</v>
      </c>
      <c r="E122" s="4"/>
      <c r="F122" s="4" t="s">
        <v>702</v>
      </c>
    </row>
    <row r="123" customFormat="false" ht="15" hidden="false" customHeight="false" outlineLevel="0" collapsed="false">
      <c r="A123" s="4" t="s">
        <v>138</v>
      </c>
      <c r="B123" s="4" t="s">
        <v>15</v>
      </c>
      <c r="C123" s="4" t="s">
        <v>819</v>
      </c>
      <c r="D123" s="4" t="s">
        <v>462</v>
      </c>
      <c r="E123" s="4" t="s">
        <v>820</v>
      </c>
      <c r="F123" s="4" t="s">
        <v>821</v>
      </c>
    </row>
    <row r="124" customFormat="false" ht="15" hidden="false" customHeight="false" outlineLevel="0" collapsed="false">
      <c r="A124" s="4" t="s">
        <v>138</v>
      </c>
      <c r="B124" s="4" t="s">
        <v>15</v>
      </c>
      <c r="C124" s="4" t="s">
        <v>822</v>
      </c>
      <c r="D124" s="4" t="s">
        <v>462</v>
      </c>
      <c r="E124" s="4" t="s">
        <v>630</v>
      </c>
      <c r="F124" s="4" t="s">
        <v>823</v>
      </c>
    </row>
    <row r="125" customFormat="false" ht="15" hidden="false" customHeight="false" outlineLevel="0" collapsed="false">
      <c r="A125" s="4" t="s">
        <v>138</v>
      </c>
      <c r="B125" s="4" t="s">
        <v>15</v>
      </c>
      <c r="C125" s="4" t="s">
        <v>824</v>
      </c>
      <c r="D125" s="4" t="s">
        <v>462</v>
      </c>
      <c r="E125" s="4" t="s">
        <v>628</v>
      </c>
      <c r="F125" s="4" t="s">
        <v>825</v>
      </c>
    </row>
    <row r="126" customFormat="false" ht="15" hidden="false" customHeight="false" outlineLevel="0" collapsed="false">
      <c r="A126" s="4" t="s">
        <v>141</v>
      </c>
      <c r="B126" s="4" t="s">
        <v>15</v>
      </c>
      <c r="C126" s="4" t="s">
        <v>826</v>
      </c>
      <c r="D126" s="4" t="s">
        <v>467</v>
      </c>
      <c r="E126" s="4" t="s">
        <v>827</v>
      </c>
      <c r="F126" s="4" t="s">
        <v>828</v>
      </c>
    </row>
    <row r="127" customFormat="false" ht="15" hidden="false" customHeight="false" outlineLevel="0" collapsed="false">
      <c r="A127" s="4" t="s">
        <v>141</v>
      </c>
      <c r="B127" s="4" t="s">
        <v>15</v>
      </c>
      <c r="C127" s="4" t="s">
        <v>829</v>
      </c>
      <c r="D127" s="4" t="s">
        <v>467</v>
      </c>
      <c r="E127" s="4" t="s">
        <v>830</v>
      </c>
      <c r="F127" s="4" t="s">
        <v>444</v>
      </c>
    </row>
    <row r="128" customFormat="false" ht="15" hidden="false" customHeight="false" outlineLevel="0" collapsed="false">
      <c r="A128" s="4" t="s">
        <v>141</v>
      </c>
      <c r="B128" s="4" t="s">
        <v>15</v>
      </c>
      <c r="C128" s="4" t="s">
        <v>831</v>
      </c>
      <c r="D128" s="4" t="s">
        <v>467</v>
      </c>
      <c r="E128" s="4" t="s">
        <v>709</v>
      </c>
      <c r="F128" s="4" t="s">
        <v>469</v>
      </c>
    </row>
    <row r="129" customFormat="false" ht="15" hidden="false" customHeight="false" outlineLevel="0" collapsed="false">
      <c r="A129" s="4" t="s">
        <v>143</v>
      </c>
      <c r="B129" s="4" t="s">
        <v>15</v>
      </c>
      <c r="C129" s="4" t="s">
        <v>832</v>
      </c>
      <c r="D129" s="4" t="s">
        <v>472</v>
      </c>
      <c r="E129" s="4"/>
      <c r="F129" s="4" t="s">
        <v>833</v>
      </c>
    </row>
    <row r="130" customFormat="false" ht="15" hidden="false" customHeight="false" outlineLevel="0" collapsed="false">
      <c r="A130" s="4" t="s">
        <v>143</v>
      </c>
      <c r="B130" s="4" t="s">
        <v>15</v>
      </c>
      <c r="C130" s="4" t="s">
        <v>834</v>
      </c>
      <c r="D130" s="4" t="s">
        <v>472</v>
      </c>
      <c r="E130" s="4"/>
      <c r="F130" s="4" t="s">
        <v>833</v>
      </c>
    </row>
    <row r="131" customFormat="false" ht="15" hidden="false" customHeight="false" outlineLevel="0" collapsed="false">
      <c r="A131" s="4" t="s">
        <v>143</v>
      </c>
      <c r="B131" s="4" t="s">
        <v>15</v>
      </c>
      <c r="C131" s="4" t="s">
        <v>835</v>
      </c>
      <c r="D131" s="4" t="s">
        <v>472</v>
      </c>
      <c r="E131" s="4"/>
      <c r="F131" s="4" t="s">
        <v>833</v>
      </c>
    </row>
    <row r="132" customFormat="false" ht="15" hidden="false" customHeight="false" outlineLevel="0" collapsed="false">
      <c r="A132" s="4" t="s">
        <v>139</v>
      </c>
      <c r="B132" s="4" t="s">
        <v>15</v>
      </c>
      <c r="C132" s="4" t="s">
        <v>836</v>
      </c>
      <c r="D132" s="4" t="s">
        <v>196</v>
      </c>
      <c r="E132" s="4"/>
      <c r="F132" s="4" t="s">
        <v>702</v>
      </c>
    </row>
    <row r="133" customFormat="false" ht="15" hidden="false" customHeight="false" outlineLevel="0" collapsed="false">
      <c r="A133" s="4" t="s">
        <v>139</v>
      </c>
      <c r="B133" s="4" t="s">
        <v>15</v>
      </c>
      <c r="C133" s="4" t="s">
        <v>837</v>
      </c>
      <c r="D133" s="4" t="s">
        <v>196</v>
      </c>
      <c r="E133" s="4"/>
      <c r="F133" s="4" t="s">
        <v>702</v>
      </c>
    </row>
    <row r="134" customFormat="false" ht="15" hidden="false" customHeight="false" outlineLevel="0" collapsed="false">
      <c r="A134" s="4" t="s">
        <v>139</v>
      </c>
      <c r="B134" s="4" t="s">
        <v>15</v>
      </c>
      <c r="C134" s="4" t="s">
        <v>838</v>
      </c>
      <c r="D134" s="4" t="s">
        <v>196</v>
      </c>
      <c r="E134" s="4"/>
      <c r="F134" s="4" t="s">
        <v>702</v>
      </c>
    </row>
    <row r="135" customFormat="false" ht="15" hidden="false" customHeight="false" outlineLevel="0" collapsed="false">
      <c r="A135" s="4" t="s">
        <v>158</v>
      </c>
      <c r="B135" s="4" t="s">
        <v>27</v>
      </c>
      <c r="C135" s="4" t="s">
        <v>839</v>
      </c>
      <c r="D135" s="4" t="s">
        <v>481</v>
      </c>
      <c r="E135" s="4" t="s">
        <v>840</v>
      </c>
      <c r="F135" s="4" t="s">
        <v>841</v>
      </c>
    </row>
    <row r="136" customFormat="false" ht="15" hidden="false" customHeight="false" outlineLevel="0" collapsed="false">
      <c r="A136" s="4" t="s">
        <v>158</v>
      </c>
      <c r="B136" s="4" t="s">
        <v>27</v>
      </c>
      <c r="C136" s="4" t="s">
        <v>842</v>
      </c>
      <c r="D136" s="4" t="s">
        <v>481</v>
      </c>
      <c r="E136" s="4" t="s">
        <v>843</v>
      </c>
      <c r="F136" s="4" t="s">
        <v>844</v>
      </c>
    </row>
    <row r="137" customFormat="false" ht="15" hidden="false" customHeight="false" outlineLevel="0" collapsed="false">
      <c r="A137" s="4" t="s">
        <v>158</v>
      </c>
      <c r="B137" s="4" t="s">
        <v>27</v>
      </c>
      <c r="C137" s="4" t="s">
        <v>845</v>
      </c>
      <c r="D137" s="4" t="s">
        <v>481</v>
      </c>
      <c r="E137" s="4" t="s">
        <v>846</v>
      </c>
      <c r="F137" s="4" t="s">
        <v>847</v>
      </c>
    </row>
    <row r="138" customFormat="false" ht="15" hidden="false" customHeight="false" outlineLevel="0" collapsed="false">
      <c r="A138" s="4" t="s">
        <v>487</v>
      </c>
      <c r="B138" s="4" t="s">
        <v>27</v>
      </c>
      <c r="C138" s="4" t="s">
        <v>848</v>
      </c>
      <c r="D138" s="4" t="s">
        <v>488</v>
      </c>
      <c r="E138" s="4" t="s">
        <v>849</v>
      </c>
      <c r="F138" s="4" t="s">
        <v>850</v>
      </c>
    </row>
    <row r="139" customFormat="false" ht="15" hidden="false" customHeight="false" outlineLevel="0" collapsed="false">
      <c r="A139" s="4" t="s">
        <v>487</v>
      </c>
      <c r="B139" s="4" t="s">
        <v>27</v>
      </c>
      <c r="C139" s="4" t="s">
        <v>851</v>
      </c>
      <c r="D139" s="4" t="s">
        <v>488</v>
      </c>
      <c r="E139" s="4" t="s">
        <v>852</v>
      </c>
      <c r="F139" s="4" t="s">
        <v>853</v>
      </c>
    </row>
    <row r="140" customFormat="false" ht="15" hidden="false" customHeight="false" outlineLevel="0" collapsed="false">
      <c r="A140" s="4" t="s">
        <v>487</v>
      </c>
      <c r="B140" s="4" t="s">
        <v>27</v>
      </c>
      <c r="C140" s="4" t="s">
        <v>854</v>
      </c>
      <c r="D140" s="4" t="s">
        <v>488</v>
      </c>
      <c r="E140" s="4" t="s">
        <v>855</v>
      </c>
      <c r="F140" s="4" t="s">
        <v>803</v>
      </c>
    </row>
    <row r="141" customFormat="false" ht="15" hidden="false" customHeight="false" outlineLevel="0" collapsed="false">
      <c r="A141" s="4" t="s">
        <v>492</v>
      </c>
      <c r="B141" s="4" t="s">
        <v>27</v>
      </c>
      <c r="C141" s="4" t="s">
        <v>856</v>
      </c>
      <c r="D141" s="4" t="s">
        <v>488</v>
      </c>
      <c r="E141" s="4" t="s">
        <v>857</v>
      </c>
      <c r="F141" s="4"/>
    </row>
    <row r="142" customFormat="false" ht="15" hidden="false" customHeight="false" outlineLevel="0" collapsed="false">
      <c r="A142" s="4" t="s">
        <v>492</v>
      </c>
      <c r="B142" s="4" t="s">
        <v>27</v>
      </c>
      <c r="C142" s="4" t="s">
        <v>858</v>
      </c>
      <c r="D142" s="4" t="s">
        <v>488</v>
      </c>
      <c r="E142" s="4" t="s">
        <v>859</v>
      </c>
      <c r="F142" s="4"/>
    </row>
    <row r="143" customFormat="false" ht="15" hidden="false" customHeight="false" outlineLevel="0" collapsed="false">
      <c r="A143" s="4" t="s">
        <v>492</v>
      </c>
      <c r="B143" s="4" t="s">
        <v>27</v>
      </c>
      <c r="C143" s="4" t="s">
        <v>860</v>
      </c>
      <c r="D143" s="4" t="s">
        <v>488</v>
      </c>
      <c r="E143" s="4" t="s">
        <v>861</v>
      </c>
      <c r="F143" s="4"/>
    </row>
    <row r="144" customFormat="false" ht="15" hidden="false" customHeight="false" outlineLevel="0" collapsed="false">
      <c r="A144" s="4" t="s">
        <v>163</v>
      </c>
      <c r="B144" s="4" t="s">
        <v>28</v>
      </c>
      <c r="C144" s="4" t="s">
        <v>862</v>
      </c>
      <c r="D144" s="4" t="s">
        <v>496</v>
      </c>
      <c r="E144" s="4" t="s">
        <v>628</v>
      </c>
      <c r="F144" s="4" t="s">
        <v>630</v>
      </c>
    </row>
    <row r="145" customFormat="false" ht="15" hidden="false" customHeight="false" outlineLevel="0" collapsed="false">
      <c r="A145" s="4" t="s">
        <v>163</v>
      </c>
      <c r="B145" s="4" t="s">
        <v>28</v>
      </c>
      <c r="C145" s="4" t="s">
        <v>863</v>
      </c>
      <c r="D145" s="4" t="s">
        <v>496</v>
      </c>
      <c r="E145" s="4" t="s">
        <v>864</v>
      </c>
      <c r="F145" s="4" t="s">
        <v>326</v>
      </c>
    </row>
    <row r="146" customFormat="false" ht="15" hidden="false" customHeight="false" outlineLevel="0" collapsed="false">
      <c r="A146" s="4" t="s">
        <v>163</v>
      </c>
      <c r="B146" s="4" t="s">
        <v>28</v>
      </c>
      <c r="C146" s="4" t="s">
        <v>865</v>
      </c>
      <c r="D146" s="4" t="s">
        <v>496</v>
      </c>
      <c r="E146" s="4" t="s">
        <v>326</v>
      </c>
      <c r="F146" s="4" t="s">
        <v>866</v>
      </c>
    </row>
    <row r="147" customFormat="false" ht="15" hidden="false" customHeight="false" outlineLevel="0" collapsed="false">
      <c r="A147" s="4" t="s">
        <v>182</v>
      </c>
      <c r="B147" s="4" t="s">
        <v>17</v>
      </c>
      <c r="C147" s="4" t="s">
        <v>867</v>
      </c>
      <c r="D147" s="4" t="s">
        <v>276</v>
      </c>
      <c r="E147" s="4" t="s">
        <v>868</v>
      </c>
      <c r="F147" s="4" t="s">
        <v>869</v>
      </c>
    </row>
    <row r="148" customFormat="false" ht="15" hidden="false" customHeight="false" outlineLevel="0" collapsed="false">
      <c r="A148" s="4" t="s">
        <v>134</v>
      </c>
      <c r="B148" s="4" t="s">
        <v>16</v>
      </c>
      <c r="C148" s="4" t="s">
        <v>870</v>
      </c>
      <c r="D148" s="4" t="s">
        <v>504</v>
      </c>
      <c r="E148" s="4" t="s">
        <v>630</v>
      </c>
      <c r="F148" s="4" t="s">
        <v>871</v>
      </c>
    </row>
    <row r="149" customFormat="false" ht="15" hidden="false" customHeight="false" outlineLevel="0" collapsed="false">
      <c r="A149" s="4" t="s">
        <v>134</v>
      </c>
      <c r="B149" s="4" t="s">
        <v>16</v>
      </c>
      <c r="C149" s="4" t="s">
        <v>872</v>
      </c>
      <c r="D149" s="4" t="s">
        <v>504</v>
      </c>
      <c r="E149" s="4" t="s">
        <v>709</v>
      </c>
      <c r="F149" s="4" t="s">
        <v>873</v>
      </c>
    </row>
    <row r="150" customFormat="false" ht="15" hidden="false" customHeight="false" outlineLevel="0" collapsed="false">
      <c r="A150" s="4" t="s">
        <v>134</v>
      </c>
      <c r="B150" s="4" t="s">
        <v>16</v>
      </c>
      <c r="C150" s="4" t="s">
        <v>874</v>
      </c>
      <c r="D150" s="4" t="s">
        <v>504</v>
      </c>
      <c r="E150" s="4" t="s">
        <v>875</v>
      </c>
      <c r="F150" s="4" t="s">
        <v>876</v>
      </c>
    </row>
    <row r="151" customFormat="false" ht="15" hidden="false" customHeight="false" outlineLevel="0" collapsed="false">
      <c r="A151" s="4" t="s">
        <v>132</v>
      </c>
      <c r="B151" s="4" t="s">
        <v>16</v>
      </c>
      <c r="C151" s="4" t="s">
        <v>877</v>
      </c>
      <c r="D151" s="4" t="s">
        <v>508</v>
      </c>
      <c r="E151" s="4"/>
      <c r="F151" s="4" t="s">
        <v>698</v>
      </c>
    </row>
    <row r="152" customFormat="false" ht="15" hidden="false" customHeight="false" outlineLevel="0" collapsed="false">
      <c r="A152" s="4" t="s">
        <v>132</v>
      </c>
      <c r="B152" s="4" t="s">
        <v>16</v>
      </c>
      <c r="C152" s="4" t="s">
        <v>878</v>
      </c>
      <c r="D152" s="4" t="s">
        <v>508</v>
      </c>
      <c r="E152" s="4"/>
      <c r="F152" s="4" t="s">
        <v>698</v>
      </c>
    </row>
    <row r="153" customFormat="false" ht="15" hidden="false" customHeight="false" outlineLevel="0" collapsed="false">
      <c r="A153" s="4" t="s">
        <v>132</v>
      </c>
      <c r="B153" s="4" t="s">
        <v>16</v>
      </c>
      <c r="C153" s="4" t="s">
        <v>879</v>
      </c>
      <c r="D153" s="4" t="s">
        <v>508</v>
      </c>
      <c r="E153" s="4"/>
      <c r="F153" s="4" t="s">
        <v>698</v>
      </c>
    </row>
    <row r="154" customFormat="false" ht="15" hidden="false" customHeight="false" outlineLevel="0" collapsed="false">
      <c r="A154" s="4" t="s">
        <v>135</v>
      </c>
      <c r="B154" s="4" t="s">
        <v>16</v>
      </c>
      <c r="C154" s="4" t="s">
        <v>880</v>
      </c>
      <c r="D154" s="4" t="s">
        <v>196</v>
      </c>
      <c r="E154" s="4"/>
      <c r="F154" s="4" t="s">
        <v>702</v>
      </c>
    </row>
    <row r="155" customFormat="false" ht="15" hidden="false" customHeight="false" outlineLevel="0" collapsed="false">
      <c r="A155" s="4" t="s">
        <v>135</v>
      </c>
      <c r="B155" s="4" t="s">
        <v>16</v>
      </c>
      <c r="C155" s="4" t="s">
        <v>881</v>
      </c>
      <c r="D155" s="4" t="s">
        <v>196</v>
      </c>
      <c r="E155" s="4"/>
      <c r="F155" s="4" t="s">
        <v>702</v>
      </c>
    </row>
    <row r="156" customFormat="false" ht="15" hidden="false" customHeight="false" outlineLevel="0" collapsed="false">
      <c r="A156" s="4" t="s">
        <v>135</v>
      </c>
      <c r="B156" s="4" t="s">
        <v>16</v>
      </c>
      <c r="C156" s="4" t="s">
        <v>882</v>
      </c>
      <c r="D156" s="4" t="s">
        <v>196</v>
      </c>
      <c r="E156" s="4"/>
      <c r="F156" s="4" t="s">
        <v>702</v>
      </c>
    </row>
    <row r="157" customFormat="false" ht="15" hidden="false" customHeight="false" outlineLevel="0" collapsed="false">
      <c r="A157" s="4" t="s">
        <v>162</v>
      </c>
      <c r="B157" s="4" t="s">
        <v>12</v>
      </c>
      <c r="C157" s="4" t="s">
        <v>883</v>
      </c>
      <c r="D157" s="4" t="s">
        <v>514</v>
      </c>
      <c r="E157" s="4" t="s">
        <v>884</v>
      </c>
      <c r="F157" s="4" t="s">
        <v>885</v>
      </c>
    </row>
    <row r="158" customFormat="false" ht="15" hidden="false" customHeight="false" outlineLevel="0" collapsed="false">
      <c r="A158" s="4" t="s">
        <v>162</v>
      </c>
      <c r="B158" s="4" t="s">
        <v>12</v>
      </c>
      <c r="C158" s="4" t="s">
        <v>886</v>
      </c>
      <c r="D158" s="4" t="s">
        <v>514</v>
      </c>
      <c r="E158" s="4" t="s">
        <v>887</v>
      </c>
      <c r="F158" s="4" t="s">
        <v>888</v>
      </c>
    </row>
    <row r="159" customFormat="false" ht="15" hidden="false" customHeight="false" outlineLevel="0" collapsed="false">
      <c r="A159" s="4" t="s">
        <v>162</v>
      </c>
      <c r="B159" s="4" t="s">
        <v>12</v>
      </c>
      <c r="C159" s="4" t="s">
        <v>889</v>
      </c>
      <c r="D159" s="4" t="s">
        <v>514</v>
      </c>
      <c r="E159" s="4" t="s">
        <v>890</v>
      </c>
      <c r="F159" s="4" t="s">
        <v>891</v>
      </c>
    </row>
    <row r="160" customFormat="false" ht="15" hidden="false" customHeight="false" outlineLevel="0" collapsed="false">
      <c r="A160" s="4" t="s">
        <v>160</v>
      </c>
      <c r="B160" s="4" t="s">
        <v>12</v>
      </c>
      <c r="C160" s="4" t="s">
        <v>892</v>
      </c>
      <c r="D160" s="4" t="s">
        <v>504</v>
      </c>
      <c r="E160" s="4" t="s">
        <v>893</v>
      </c>
      <c r="F160" s="4" t="s">
        <v>894</v>
      </c>
    </row>
    <row r="161" customFormat="false" ht="15" hidden="false" customHeight="false" outlineLevel="0" collapsed="false">
      <c r="A161" s="4" t="s">
        <v>160</v>
      </c>
      <c r="B161" s="4" t="s">
        <v>12</v>
      </c>
      <c r="C161" s="4" t="s">
        <v>895</v>
      </c>
      <c r="D161" s="4" t="s">
        <v>504</v>
      </c>
      <c r="E161" s="4" t="s">
        <v>896</v>
      </c>
      <c r="F161" s="4" t="s">
        <v>897</v>
      </c>
    </row>
    <row r="162" customFormat="false" ht="15" hidden="false" customHeight="false" outlineLevel="0" collapsed="false">
      <c r="A162" s="4" t="s">
        <v>160</v>
      </c>
      <c r="B162" s="4" t="s">
        <v>12</v>
      </c>
      <c r="C162" s="4" t="s">
        <v>898</v>
      </c>
      <c r="D162" s="4" t="s">
        <v>504</v>
      </c>
      <c r="E162" s="4" t="s">
        <v>899</v>
      </c>
      <c r="F162" s="4" t="s">
        <v>900</v>
      </c>
    </row>
    <row r="163" customFormat="false" ht="15" hidden="false" customHeight="false" outlineLevel="0" collapsed="false">
      <c r="A163" s="4" t="s">
        <v>150</v>
      </c>
      <c r="B163" s="4" t="s">
        <v>18</v>
      </c>
      <c r="C163" s="4" t="s">
        <v>901</v>
      </c>
      <c r="D163" s="4" t="s">
        <v>520</v>
      </c>
      <c r="E163" s="4" t="s">
        <v>902</v>
      </c>
      <c r="F163" s="4" t="s">
        <v>903</v>
      </c>
    </row>
    <row r="164" customFormat="false" ht="15" hidden="false" customHeight="false" outlineLevel="0" collapsed="false">
      <c r="A164" s="4" t="s">
        <v>150</v>
      </c>
      <c r="B164" s="4" t="s">
        <v>18</v>
      </c>
      <c r="C164" s="4" t="s">
        <v>904</v>
      </c>
      <c r="D164" s="4" t="s">
        <v>520</v>
      </c>
      <c r="E164" s="4" t="s">
        <v>905</v>
      </c>
      <c r="F164" s="4" t="s">
        <v>906</v>
      </c>
    </row>
    <row r="165" customFormat="false" ht="15" hidden="false" customHeight="false" outlineLevel="0" collapsed="false">
      <c r="A165" s="4" t="s">
        <v>150</v>
      </c>
      <c r="B165" s="4" t="s">
        <v>18</v>
      </c>
      <c r="C165" s="4" t="s">
        <v>907</v>
      </c>
      <c r="D165" s="4" t="s">
        <v>520</v>
      </c>
      <c r="E165" s="4" t="s">
        <v>908</v>
      </c>
      <c r="F165" s="4" t="s">
        <v>909</v>
      </c>
    </row>
    <row r="166" customFormat="false" ht="15" hidden="false" customHeight="false" outlineLevel="0" collapsed="false">
      <c r="A166" s="4" t="s">
        <v>146</v>
      </c>
      <c r="B166" s="4" t="s">
        <v>18</v>
      </c>
      <c r="C166" s="4" t="s">
        <v>910</v>
      </c>
      <c r="D166" s="4" t="s">
        <v>526</v>
      </c>
      <c r="E166" s="4" t="s">
        <v>866</v>
      </c>
      <c r="F166" s="4" t="s">
        <v>911</v>
      </c>
    </row>
    <row r="167" customFormat="false" ht="15" hidden="false" customHeight="false" outlineLevel="0" collapsed="false">
      <c r="A167" s="4" t="s">
        <v>146</v>
      </c>
      <c r="B167" s="4" t="s">
        <v>18</v>
      </c>
      <c r="C167" s="4" t="s">
        <v>912</v>
      </c>
      <c r="D167" s="4" t="s">
        <v>526</v>
      </c>
      <c r="E167" s="4" t="s">
        <v>913</v>
      </c>
      <c r="F167" s="4" t="s">
        <v>914</v>
      </c>
    </row>
    <row r="168" customFormat="false" ht="15" hidden="false" customHeight="false" outlineLevel="0" collapsed="false">
      <c r="A168" s="4" t="s">
        <v>146</v>
      </c>
      <c r="B168" s="4" t="s">
        <v>18</v>
      </c>
      <c r="C168" s="4" t="s">
        <v>915</v>
      </c>
      <c r="D168" s="4" t="s">
        <v>526</v>
      </c>
      <c r="E168" s="4" t="s">
        <v>630</v>
      </c>
      <c r="F168" s="4" t="s">
        <v>916</v>
      </c>
    </row>
    <row r="169" customFormat="false" ht="15" hidden="false" customHeight="false" outlineLevel="0" collapsed="false">
      <c r="A169" s="4" t="s">
        <v>148</v>
      </c>
      <c r="B169" s="4" t="s">
        <v>18</v>
      </c>
      <c r="C169" s="4" t="s">
        <v>917</v>
      </c>
      <c r="D169" s="4" t="s">
        <v>534</v>
      </c>
      <c r="E169" s="4" t="s">
        <v>918</v>
      </c>
      <c r="F169" s="4"/>
    </row>
    <row r="170" customFormat="false" ht="15" hidden="false" customHeight="false" outlineLevel="0" collapsed="false">
      <c r="A170" s="4" t="s">
        <v>148</v>
      </c>
      <c r="B170" s="4" t="s">
        <v>18</v>
      </c>
      <c r="C170" s="4" t="s">
        <v>919</v>
      </c>
      <c r="D170" s="4" t="s">
        <v>534</v>
      </c>
      <c r="E170" s="4" t="s">
        <v>920</v>
      </c>
      <c r="F170" s="4"/>
    </row>
    <row r="171" customFormat="false" ht="15" hidden="false" customHeight="false" outlineLevel="0" collapsed="false">
      <c r="A171" s="4" t="s">
        <v>148</v>
      </c>
      <c r="B171" s="4" t="s">
        <v>18</v>
      </c>
      <c r="C171" s="4" t="s">
        <v>921</v>
      </c>
      <c r="D171" s="4" t="s">
        <v>534</v>
      </c>
      <c r="E171" s="4" t="s">
        <v>922</v>
      </c>
      <c r="F171" s="4"/>
    </row>
    <row r="172" customFormat="false" ht="15" hidden="false" customHeight="false" outlineLevel="0" collapsed="false">
      <c r="A172" s="4" t="s">
        <v>153</v>
      </c>
      <c r="B172" s="4" t="s">
        <v>18</v>
      </c>
      <c r="C172" s="4" t="s">
        <v>923</v>
      </c>
      <c r="D172" s="4" t="s">
        <v>538</v>
      </c>
      <c r="E172" s="4" t="s">
        <v>924</v>
      </c>
      <c r="F172" s="4" t="s">
        <v>925</v>
      </c>
    </row>
    <row r="173" customFormat="false" ht="15" hidden="false" customHeight="false" outlineLevel="0" collapsed="false">
      <c r="A173" s="4" t="s">
        <v>153</v>
      </c>
      <c r="B173" s="4" t="s">
        <v>18</v>
      </c>
      <c r="C173" s="4" t="s">
        <v>926</v>
      </c>
      <c r="D173" s="4" t="s">
        <v>538</v>
      </c>
      <c r="E173" s="4" t="s">
        <v>927</v>
      </c>
      <c r="F173" s="4" t="s">
        <v>928</v>
      </c>
    </row>
    <row r="174" customFormat="false" ht="15" hidden="false" customHeight="false" outlineLevel="0" collapsed="false">
      <c r="A174" s="4" t="s">
        <v>153</v>
      </c>
      <c r="B174" s="4" t="s">
        <v>18</v>
      </c>
      <c r="C174" s="4" t="s">
        <v>929</v>
      </c>
      <c r="D174" s="4" t="s">
        <v>538</v>
      </c>
      <c r="E174" s="4" t="s">
        <v>930</v>
      </c>
      <c r="F174" s="4" t="s">
        <v>931</v>
      </c>
    </row>
    <row r="175" customFormat="false" ht="15" hidden="false" customHeight="false" outlineLevel="0" collapsed="false">
      <c r="A175" s="4" t="s">
        <v>151</v>
      </c>
      <c r="B175" s="4" t="s">
        <v>18</v>
      </c>
      <c r="C175" s="4" t="s">
        <v>932</v>
      </c>
      <c r="D175" s="4" t="s">
        <v>196</v>
      </c>
      <c r="E175" s="4"/>
      <c r="F175" s="4" t="s">
        <v>702</v>
      </c>
    </row>
    <row r="176" customFormat="false" ht="15" hidden="false" customHeight="false" outlineLevel="0" collapsed="false">
      <c r="A176" s="4" t="s">
        <v>151</v>
      </c>
      <c r="B176" s="4" t="s">
        <v>18</v>
      </c>
      <c r="C176" s="4" t="s">
        <v>933</v>
      </c>
      <c r="D176" s="4" t="s">
        <v>196</v>
      </c>
      <c r="E176" s="4"/>
      <c r="F176" s="4" t="s">
        <v>702</v>
      </c>
    </row>
    <row r="177" customFormat="false" ht="15" hidden="false" customHeight="false" outlineLevel="0" collapsed="false">
      <c r="A177" s="4" t="s">
        <v>151</v>
      </c>
      <c r="B177" s="4" t="s">
        <v>18</v>
      </c>
      <c r="C177" s="4" t="s">
        <v>934</v>
      </c>
      <c r="D177" s="4" t="s">
        <v>196</v>
      </c>
      <c r="E177" s="4"/>
      <c r="F177" s="4" t="s">
        <v>702</v>
      </c>
    </row>
    <row r="178" customFormat="false" ht="15" hidden="false" customHeight="false" outlineLevel="0" collapsed="false">
      <c r="A178" s="4" t="s">
        <v>72</v>
      </c>
      <c r="B178" s="4" t="s">
        <v>23</v>
      </c>
      <c r="C178" s="4" t="s">
        <v>935</v>
      </c>
      <c r="D178" s="4" t="s">
        <v>196</v>
      </c>
      <c r="E178" s="4"/>
      <c r="F178" s="4" t="s">
        <v>702</v>
      </c>
    </row>
    <row r="179" customFormat="false" ht="15" hidden="false" customHeight="false" outlineLevel="0" collapsed="false">
      <c r="A179" s="4" t="s">
        <v>72</v>
      </c>
      <c r="B179" s="4" t="s">
        <v>23</v>
      </c>
      <c r="C179" s="4" t="s">
        <v>936</v>
      </c>
      <c r="D179" s="4" t="s">
        <v>196</v>
      </c>
      <c r="E179" s="4"/>
      <c r="F179" s="4" t="s">
        <v>702</v>
      </c>
    </row>
    <row r="180" customFormat="false" ht="15" hidden="false" customHeight="false" outlineLevel="0" collapsed="false">
      <c r="A180" s="4" t="s">
        <v>72</v>
      </c>
      <c r="B180" s="4" t="s">
        <v>23</v>
      </c>
      <c r="C180" s="4" t="s">
        <v>937</v>
      </c>
      <c r="D180" s="4" t="s">
        <v>196</v>
      </c>
      <c r="E180" s="4"/>
      <c r="F180" s="4" t="s">
        <v>702</v>
      </c>
    </row>
  </sheetData>
  <autoFilter ref="A1:F1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2026-10-18T17:49:07Z</dcterms:created>
  <dc:creator>openpyxl</dc:creator>
  <dc:description/>
  <dc:language>en-US</dc:language>
  <cp:lastModifiedBy/>
  <dcterms:modified xsi:type="dcterms:W3CDTF">2026-10-20T01:35:01Z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